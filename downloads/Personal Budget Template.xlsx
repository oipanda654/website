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accor-my.sharepoint.com/personal/ben_holt_stella_ad/Documents/Documents/Accor/Projects/IO/Tools/"/>
    </mc:Choice>
  </mc:AlternateContent>
  <xr:revisionPtr revIDLastSave="1726" documentId="11_F25DC773A252ABDACC10480F011841125BDE58EB" xr6:coauthVersionLast="47" xr6:coauthVersionMax="47" xr10:uidLastSave="{902687D5-3F09-4B06-ABCC-86C339EC6841}"/>
  <bookViews>
    <workbookView xWindow="-110" yWindow="-110" windowWidth="19420" windowHeight="11500" xr2:uid="{00000000-000D-0000-FFFF-FFFF00000000}"/>
  </bookViews>
  <sheets>
    <sheet name="Dashboard" sheetId="6" r:id="rId1"/>
    <sheet name="Budget" sheetId="2" r:id="rId2"/>
    <sheet name="Configuration" sheetId="3" r:id="rId3"/>
    <sheet name="ReadMe" sheetId="7" r:id="rId4"/>
  </sheets>
  <definedNames>
    <definedName name="Category">CategoryTBL[Expense Category]</definedName>
    <definedName name="PeriodType">PeriodTypeTBL[Period Type]</definedName>
    <definedName name="Slicer_Category_A">#N/A</definedName>
    <definedName name="Slicer_Category_A1">#N/A</definedName>
    <definedName name="Slicer_Category_B">#N/A</definedName>
    <definedName name="Subcategory">CategoryTBL[Expense Subcategory]</definedName>
  </definedNames>
  <calcPr calcId="191029" calcMode="manual" calcCompleted="0" calcOnSave="0"/>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C4" i="2"/>
  <c r="C6" i="2"/>
  <c r="F12" i="2"/>
  <c r="F12" i="2" a="1"/>
  <c r="L12" i="2" a="1"/>
  <c r="L12" i="2" s="1"/>
  <c r="L13" i="2" a="1"/>
  <c r="L13" i="2" s="1"/>
  <c r="L14" i="2" a="1"/>
  <c r="L14" i="2" s="1"/>
  <c r="L15" i="2" a="1"/>
  <c r="L15" i="2" s="1"/>
  <c r="L16" i="2" a="1"/>
  <c r="L16" i="2"/>
  <c r="L17" i="2" a="1"/>
  <c r="L17" i="2"/>
  <c r="L18" i="2" a="1"/>
  <c r="L18" i="2"/>
  <c r="L19" i="2" a="1"/>
  <c r="L19" i="2" s="1"/>
  <c r="F27" i="2" a="1"/>
  <c r="F27" i="2"/>
  <c r="F28" i="2" a="1"/>
  <c r="F28" i="2" s="1"/>
  <c r="F29" i="2" a="1"/>
  <c r="F29" i="2"/>
  <c r="F30" i="2" a="1"/>
  <c r="F30" i="2"/>
  <c r="F31" i="2" a="1"/>
  <c r="F31" i="2"/>
  <c r="F32" i="2" a="1"/>
  <c r="F32" i="2" s="1"/>
  <c r="F33" i="2" a="1"/>
  <c r="F33" i="2" s="1"/>
  <c r="F34" i="2" a="1"/>
  <c r="F34" i="2"/>
  <c r="F35" i="2" a="1"/>
  <c r="F35" i="2" s="1"/>
  <c r="F36" i="2" a="1"/>
  <c r="F36" i="2" s="1"/>
  <c r="F5" i="3"/>
  <c r="F11" i="3"/>
  <c r="F15" i="3"/>
  <c r="F17" i="3"/>
  <c r="F16" i="3"/>
  <c r="F9" i="3"/>
  <c r="F7" i="3"/>
  <c r="F1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<sst xmlns="http://schemas.openxmlformats.org/spreadsheetml/2006/main" count="367" uniqueCount="136">
  <si>
    <t>Insurance</t>
  </si>
  <si>
    <t>Health</t>
  </si>
  <si>
    <t>Contents</t>
  </si>
  <si>
    <t>Car</t>
  </si>
  <si>
    <t>Rent</t>
  </si>
  <si>
    <t>Amount</t>
  </si>
  <si>
    <t>Period Type</t>
  </si>
  <si>
    <t>Total</t>
  </si>
  <si>
    <t>Input</t>
  </si>
  <si>
    <t>Output</t>
  </si>
  <si>
    <t>Conversion</t>
  </si>
  <si>
    <t>Expenses</t>
  </si>
  <si>
    <t>Row Labels</t>
  </si>
  <si>
    <t>Sum of Amount</t>
  </si>
  <si>
    <t>Groceries</t>
  </si>
  <si>
    <t>Alcohol</t>
  </si>
  <si>
    <t>Dental</t>
  </si>
  <si>
    <t>Healthcare &amp; Medical</t>
  </si>
  <si>
    <t>Specialist &amp; Natural Therapies</t>
  </si>
  <si>
    <t>Frequency</t>
  </si>
  <si>
    <t>Grand Total</t>
  </si>
  <si>
    <t>Category</t>
  </si>
  <si>
    <t>Subcategory</t>
  </si>
  <si>
    <t>Auto &amp; Transport</t>
  </si>
  <si>
    <t>Dining, Bars &amp; Café</t>
  </si>
  <si>
    <t>Education &amp; Training</t>
  </si>
  <si>
    <t>Gifts &amp; Donations</t>
  </si>
  <si>
    <t>Hobbies &amp; Entertainment</t>
  </si>
  <si>
    <t>Home &amp; Property</t>
  </si>
  <si>
    <t>Income</t>
  </si>
  <si>
    <t>Wage &amp; Salary</t>
  </si>
  <si>
    <t>Rental Income</t>
  </si>
  <si>
    <t>Dividends Received</t>
  </si>
  <si>
    <t>Government Payments</t>
  </si>
  <si>
    <t>Interest Received</t>
  </si>
  <si>
    <t>Children</t>
  </si>
  <si>
    <t>Mortgage &amp; Loans</t>
  </si>
  <si>
    <t>Pets</t>
  </si>
  <si>
    <t>Bond</t>
  </si>
  <si>
    <t>Housekeeping</t>
  </si>
  <si>
    <t>Gardening</t>
  </si>
  <si>
    <t>Car Loan</t>
  </si>
  <si>
    <t>Personal Loan</t>
  </si>
  <si>
    <t>Student Loan</t>
  </si>
  <si>
    <t>Credit Card Repayment</t>
  </si>
  <si>
    <t>Home Loan</t>
  </si>
  <si>
    <t>Pet Food</t>
  </si>
  <si>
    <t>Pet Insurance</t>
  </si>
  <si>
    <t>Vet</t>
  </si>
  <si>
    <t>Pet Toys</t>
  </si>
  <si>
    <t>Travel</t>
  </si>
  <si>
    <t>Accommodation</t>
  </si>
  <si>
    <t>Flights</t>
  </si>
  <si>
    <t>Travel Insurance</t>
  </si>
  <si>
    <t>Car Insurance</t>
  </si>
  <si>
    <t>Car Registration</t>
  </si>
  <si>
    <t>Parking</t>
  </si>
  <si>
    <t>Petrol</t>
  </si>
  <si>
    <t>Driving Fines</t>
  </si>
  <si>
    <t>Car Servicing</t>
  </si>
  <si>
    <t>Car Rental</t>
  </si>
  <si>
    <t>Taxis &amp; Rideshare</t>
  </si>
  <si>
    <t>Bar &amp; Pubs</t>
  </si>
  <si>
    <t>Restaurants &amp; Dining</t>
  </si>
  <si>
    <t>Takeaway &amp; Fast Food</t>
  </si>
  <si>
    <t>Cafes</t>
  </si>
  <si>
    <t>Breakfast</t>
  </si>
  <si>
    <t>Lunch</t>
  </si>
  <si>
    <t>Education Fees</t>
  </si>
  <si>
    <t>Education Supplies</t>
  </si>
  <si>
    <t>Donations</t>
  </si>
  <si>
    <t>Gifts</t>
  </si>
  <si>
    <t>Dental Health</t>
  </si>
  <si>
    <t>Health Insurance</t>
  </si>
  <si>
    <t>Medicine &amp; Supplements</t>
  </si>
  <si>
    <t>Specialists &amp; Natural Therapies</t>
  </si>
  <si>
    <t>Eye Care</t>
  </si>
  <si>
    <t>Betting &amp; Lottery</t>
  </si>
  <si>
    <t>Events &amp; Concerts</t>
  </si>
  <si>
    <t>Movies, Music &amp; Books</t>
  </si>
  <si>
    <t>Dues &amp; Subscriptions</t>
  </si>
  <si>
    <t>Childrens Clothing &amp; Shoes</t>
  </si>
  <si>
    <t>Childrens School</t>
  </si>
  <si>
    <t>Tutoring</t>
  </si>
  <si>
    <t>Toys &amp; Games</t>
  </si>
  <si>
    <t>Pocket Money Paid</t>
  </si>
  <si>
    <t>Lunches &amp; Food</t>
  </si>
  <si>
    <t>Childrens Entertainment</t>
  </si>
  <si>
    <t>Child Care &amp; Babysitting</t>
  </si>
  <si>
    <t>Child Support Paid</t>
  </si>
  <si>
    <t>Beauty &amp; Cosmetics</t>
  </si>
  <si>
    <t>Dry Cleaning &amp; Laundry</t>
  </si>
  <si>
    <t>Gym &amp; Fitness</t>
  </si>
  <si>
    <t>Hair &amp; Grooming</t>
  </si>
  <si>
    <t>Personal Care</t>
  </si>
  <si>
    <t>Council Rates</t>
  </si>
  <si>
    <t>Electricity</t>
  </si>
  <si>
    <t>Gas</t>
  </si>
  <si>
    <t>Internet</t>
  </si>
  <si>
    <t>Telephone</t>
  </si>
  <si>
    <t>Strata &amp; Body Corporate</t>
  </si>
  <si>
    <t>Water</t>
  </si>
  <si>
    <t>Repairs &amp; Maintenance</t>
  </si>
  <si>
    <t>Rates &amp; Utilities</t>
  </si>
  <si>
    <t>Shopping</t>
  </si>
  <si>
    <t>Clothes &amp; Shoes</t>
  </si>
  <si>
    <t>Electronics &amp; Software</t>
  </si>
  <si>
    <t>Home Furniture</t>
  </si>
  <si>
    <t>Home Appliances</t>
  </si>
  <si>
    <t>Jewellery</t>
  </si>
  <si>
    <t>Finance</t>
  </si>
  <si>
    <t>Bank Fees</t>
  </si>
  <si>
    <t>Taxes Paid</t>
  </si>
  <si>
    <t>Tax Refund</t>
  </si>
  <si>
    <t>Accounting Fees</t>
  </si>
  <si>
    <t>Tax</t>
  </si>
  <si>
    <t>Capital Gains Tax</t>
  </si>
  <si>
    <t>Net gain/loss per annum, month, week</t>
  </si>
  <si>
    <t>Daily</t>
  </si>
  <si>
    <t>Monthly</t>
  </si>
  <si>
    <t>Quarterly</t>
  </si>
  <si>
    <t>Annually</t>
  </si>
  <si>
    <t>Bi-Annually</t>
  </si>
  <si>
    <t>Weekly</t>
  </si>
  <si>
    <t>Fortnightly</t>
  </si>
  <si>
    <t>Net Income</t>
  </si>
  <si>
    <t>Revenue Category</t>
  </si>
  <si>
    <t>Expense Category</t>
  </si>
  <si>
    <t>Expense Subcategory</t>
  </si>
  <si>
    <t>Revenue Subcategory</t>
  </si>
  <si>
    <t>Track against actual</t>
  </si>
  <si>
    <t>Update expense and revenue mappings to use new revenue and expense category tables</t>
  </si>
  <si>
    <t>Rename new category and subcategory tables</t>
  </si>
  <si>
    <t>Revenue vs Expenses table</t>
  </si>
  <si>
    <t>Create instructions</t>
  </si>
  <si>
    <t>Name key input ranges like frequency on the Budget worksheet cell 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</si>
</sst>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theme="1" tint="0.249977111117893"/>
      <name val="Calibri"/>
      <family val="2"/>
      <scheme val="minor"/>
    </font>
    <font>
      <sz val="11"/>
      <color theme="1" tint="0.249977111117893"/>
      <name val="Calibri"/>
      <family val="2"/>
      <scheme val="minor"/>
    </font>
    <font>
      <b/>
      <sz val="14"/>
      <color theme="1" tint="0.249977111117893"/>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43" fontId="0" fillId="0" borderId="0" xfId="1" applyFont="1"/>
    <xf numFmtId="164" fontId="0" fillId="0" borderId="0" xfId="1" applyNumberFormat="1" applyFont="1"/>
    <xf numFmtId="165" fontId="0" fillId="0" borderId="0" xfId="2" applyNumberFormat="1" applyFont="1"/>
    <xf numFmtId="10" fontId="0" fillId="0" borderId="0" xfId="2" applyNumberFormat="1" applyFont="1"/>
    <xf numFmtId="0" fontId="0" fillId="0" borderId="0" xfId="0" applyAlignment="1">
      <alignment horizontal="center"/>
    </xf>
    <xf numFmtId="43" fontId="0" fillId="0" borderId="0" xfId="0" applyNumberFormat="1"/>
    <xf numFmtId="0" fontId="0" fillId="0" borderId="0" xfId="0" applyAlignment="1">
      <alignment horizontal="left"/>
    </xf>
    <xf numFmtId="10" fontId="0" fillId="0" borderId="0" xfId="0" applyNumberFormat="1"/>
    <xf numFmtId="0" fontId="0" fillId="0" borderId="0" xfId="0" pivotButton="1" applyAlignment="1">
      <alignment horizontal="center"/>
    </xf>
    <xf numFmtId="0" fontId="0" fillId="0" borderId="0" xfId="0" applyAlignment="1">
      <alignment horizontal="left" indent="1"/>
    </xf>
    <xf numFmtId="0" fontId="0" fillId="0" borderId="0" xfId="0" applyFont="1" applyFill="1"/>
    <xf numFmtId="43" fontId="0" fillId="0" borderId="0" xfId="1" applyNumberFormat="1" applyFont="1" applyFill="1"/>
    <xf numFmtId="0" fontId="3" fillId="0" borderId="0" xfId="0" applyFont="1"/>
    <xf numFmtId="0" fontId="5" fillId="0" borderId="0" xfId="0" applyFont="1"/>
    <xf numFmtId="43" fontId="4" fillId="0" borderId="0" xfId="0" applyNumberFormat="1" applyFont="1" applyFill="1"/>
    <xf numFmtId="43" fontId="2" fillId="0" borderId="1" xfId="0" applyNumberFormat="1" applyFont="1" applyBorder="1"/>
    <xf numFmtId="0" fontId="4" fillId="0" borderId="0" xfId="0" applyFont="1"/>
    <xf numFmtId="0" fontId="3" fillId="0" borderId="1" xfId="0" applyFont="1" applyBorder="1"/>
    <xf numFmtId="0" fontId="0" fillId="0" borderId="0" xfId="0" applyNumberFormat="1"/>
    <xf numFmtId="0" fontId="0" fillId="0" borderId="0" xfId="1" applyNumberFormat="1" applyFont="1"/>
    <xf numFmtId="0" fontId="0" fillId="0" borderId="0" xfId="2" applyNumberFormat="1" applyFont="1"/>
    <xf numFmtId="0" fontId="4" fillId="2" borderId="0" xfId="0" applyFont="1" applyFill="1" applyAlignment="1">
      <alignment horizontal="left"/>
    </xf>
  </cellXfs>
  <cellStyles count="3">
    <cellStyle name="Comma" xfId="1" builtinId="3"/>
    <cellStyle name="Normal" xfId="0" builtinId="0"/>
    <cellStyle name="Percent" xfId="2" builtinId="5"/>
  </cellStyles>
  <dxfs count="43">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numFmt numFmtId="35" formatCode="_-* #,##0.00_-;\-* #,##0.00_-;_-* &quot;-&quot;??_-;_-@_-"/>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35" formatCode="_-* #,##0.00_-;\-* #,##0.00_-;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alignment horizontal="center" vertical="bottom" textRotation="0" wrapText="0" indent="0" justifyLastLine="0" shrinkToFit="0" readingOrder="0"/>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color theme="1"/>
      </font>
      <fill>
        <patternFill patternType="solid">
          <fgColor theme="0"/>
          <bgColor theme="0"/>
        </patternFill>
      </fill>
      <border>
        <top style="thin">
          <color theme="1" tint="0.499984740745262"/>
        </top>
        <bottom style="thin">
          <color theme="1" tint="0.499984740745262"/>
        </bottom>
      </border>
    </dxf>
    <dxf>
      <font>
        <b/>
        <color theme="1"/>
      </font>
      <border>
        <top style="thin">
          <color theme="1" tint="0.499984740745262"/>
        </top>
        <bottom style="thin">
          <color theme="1" tint="0.499984740745262"/>
        </bottom>
      </border>
    </dxf>
    <dxf>
      <font>
        <color theme="1"/>
      </font>
      <border>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4" tint="-0.249977111117893"/>
      </font>
    </dxf>
    <dxf>
      <font>
        <b/>
        <color theme="4" tint="-0.249977111117893"/>
      </font>
    </dxf>
    <dxf>
      <font>
        <b/>
        <i val="0"/>
        <color auto="1"/>
      </font>
      <border>
        <top style="thin">
          <color theme="4"/>
        </top>
      </border>
    </dxf>
    <dxf>
      <font>
        <b/>
        <i val="0"/>
        <color auto="1"/>
      </font>
      <border>
        <bottom style="thin">
          <color theme="4"/>
        </bottom>
      </border>
    </dxf>
    <dxf>
      <font>
        <color theme="1" tint="0.24994659260841701"/>
      </font>
      <border>
        <top style="thin">
          <color theme="4"/>
        </top>
        <bottom style="thin">
          <color theme="4"/>
        </bottom>
      </border>
    </dxf>
    <dxf>
      <font>
        <b val="0"/>
        <i val="0"/>
        <strike val="0"/>
        <condense val="0"/>
        <extend val="0"/>
        <outline val="0"/>
        <shadow val="0"/>
        <u val="none"/>
        <vertAlign val="baseline"/>
        <sz val="11"/>
        <color theme="1"/>
        <name val="Calibri"/>
        <family val="2"/>
        <scheme val="minor"/>
      </font>
      <numFmt numFmtId="35" formatCode="_-* #,##0.00_-;\-* #,##0.00_-;_-* &quot;-&quot;??_-;_-@_-"/>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Custom Slicer Style 1" pivot="0" table="0" count="10" xr9:uid="{23C589B0-271B-4C3C-9B4E-5FEEEB9491B0}">
      <tableStyleElement type="wholeTable" dxfId="42"/>
      <tableStyleElement type="headerRow" dxfId="41"/>
    </tableStyle>
    <tableStyle name="PivotStyleCustom1" table="0" count="11" xr9:uid="{BFC53040-0CC8-461E-A4EE-9D49E71F9532}">
      <tableStyleElement type="wholeTable" dxfId="29"/>
      <tableStyleElement type="headerRow" dxfId="28"/>
      <tableStyleElement type="totalRow" dxfId="27"/>
      <tableStyleElement type="firstRowStripe" dxfId="26"/>
      <tableStyleElement type="firstColumnStripe" dxfId="25"/>
      <tableStyleElement type="firstSubtotalRow" dxfId="24"/>
      <tableStyleElement type="secondSubtotalRow" dxfId="23"/>
      <tableStyleElement type="firstRowSubheading" dxfId="22"/>
      <tableStyleElement type="secondRowSubheading" dxfId="21"/>
      <tableStyleElement type="pageFieldLabels" dxfId="20"/>
      <tableStyleElement type="pageFieldValues" dxfId="19"/>
    </tableStyle>
    <tableStyle name="TableStyleCustom2" pivot="0" count="7" xr9:uid="{2FE9BBBC-A8FF-4ED1-A8B9-120CE6C71C8C}">
      <tableStyleElement type="wholeTable" dxfId="36"/>
      <tableStyleElement type="headerRow" dxfId="35"/>
      <tableStyleElement type="totalRow" dxfId="34"/>
      <tableStyleElement type="firstColumn" dxfId="33"/>
      <tableStyleElement type="lastColumn" dxfId="32"/>
      <tableStyleElement type="firstRowStripe" dxfId="31"/>
      <tableStyleElement type="firstColumnStripe" dxfId="30"/>
    </tableStyle>
  </tableStyles>
  <colors>
    <mruColors>
      <color rgb="FF59595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Custom Slicer Style 1">
        <x14:slicerStyle name="Custom 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[Personal Budget Template.xlsx]Configuration!CatBPTBL</c:name>
    <c:fmtId val="18"/>
  </c:pivotSource>
  <c:chart>
    <c:title>
      <c:tx>
        <c:strRef>
          <c:f>ExpenseTBL[[#Headers],[Category B]]</c:f>
          <c:strCache>
            <c:ptCount val="1"/>
            <c:pt idx="0">
              <c:v>Category B</c:v>
            </c:pt>
          </c:strCache>
        </c:strRef>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flat" dir="t"/>
          </a:scene3d>
          <a:sp3d prstMaterial="matt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45000"/>
            </a:schemeClr>
          </a:solidFill>
          <a:ln>
            <a:noFill/>
          </a:ln>
          <a:effectLst/>
          <a:scene3d>
            <a:camera prst="orthographicFront"/>
            <a:lightRig rig="flat" dir="t"/>
          </a:scene3d>
          <a:sp3d prstMaterial="matte">
            <a:contourClr>
              <a:srgbClr val="000000"/>
            </a:contourClr>
          </a:sp3d>
        </c:spPr>
        <c:dLbl>
          <c:idx val="0"/>
          <c:layout>
            <c:manualLayout>
              <c:x val="-0.16107382550335569"/>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61000"/>
            </a:schemeClr>
          </a:solidFill>
          <a:ln>
            <a:noFill/>
          </a:ln>
          <a:effectLst/>
          <a:scene3d>
            <a:camera prst="orthographicFront"/>
            <a:lightRig rig="flat" dir="t"/>
          </a:scene3d>
          <a:sp3d prstMaterial="matte">
            <a:contourClr>
              <a:srgbClr val="000000"/>
            </a:contourClr>
          </a:sp3d>
        </c:spPr>
        <c:dLbl>
          <c:idx val="0"/>
          <c:layout>
            <c:manualLayout>
              <c:x val="-0.17718120805369131"/>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hade val="76000"/>
            </a:schemeClr>
          </a:solidFill>
          <a:ln>
            <a:noFill/>
          </a:ln>
          <a:effectLst/>
          <a:scene3d>
            <a:camera prst="orthographicFront"/>
            <a:lightRig rig="flat" dir="t"/>
          </a:scene3d>
          <a:sp3d prstMaterial="matte">
            <a:contourClr>
              <a:srgbClr val="000000"/>
            </a:contourClr>
          </a:sp3d>
        </c:spPr>
        <c:dLbl>
          <c:idx val="0"/>
          <c:layout>
            <c:manualLayout>
              <c:x val="0.1879194630872482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flat" dir="t"/>
          </a:scene3d>
          <a:sp3d prstMaterial="matt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tint val="46000"/>
            </a:schemeClr>
          </a:solidFill>
          <a:ln>
            <a:noFill/>
          </a:ln>
          <a:effectLst/>
          <a:scene3d>
            <a:camera prst="orthographicFront"/>
            <a:lightRig rig="flat" dir="t"/>
          </a:scene3d>
          <a:sp3d prstMaterial="matte">
            <a:contourClr>
              <a:srgbClr val="000000"/>
            </a:contourClr>
          </a:sp3d>
        </c:spPr>
      </c:pivotFmt>
      <c:pivotFmt>
        <c:idx val="6"/>
        <c:spPr>
          <a:solidFill>
            <a:schemeClr val="accent1">
              <a:tint val="62000"/>
            </a:schemeClr>
          </a:solidFill>
          <a:ln>
            <a:noFill/>
          </a:ln>
          <a:effectLst/>
          <a:scene3d>
            <a:camera prst="orthographicFront"/>
            <a:lightRig rig="flat" dir="t"/>
          </a:scene3d>
          <a:sp3d prstMaterial="matte">
            <a:contourClr>
              <a:srgbClr val="000000"/>
            </a:contourClr>
          </a:sp3d>
        </c:spPr>
      </c:pivotFmt>
      <c:pivotFmt>
        <c:idx val="7"/>
        <c:spPr>
          <a:solidFill>
            <a:schemeClr val="accent1">
              <a:tint val="77000"/>
            </a:schemeClr>
          </a:solidFill>
          <a:ln>
            <a:noFill/>
          </a:ln>
          <a:effectLst/>
          <a:scene3d>
            <a:camera prst="orthographicFront"/>
            <a:lightRig rig="flat" dir="t"/>
          </a:scene3d>
          <a:sp3d prstMaterial="matte">
            <a:contourClr>
              <a:srgbClr val="000000"/>
            </a:contourClr>
          </a:sp3d>
        </c:spPr>
      </c:pivotFmt>
      <c:pivotFmt>
        <c:idx val="8"/>
        <c:spPr>
          <a:solidFill>
            <a:schemeClr val="accent1">
              <a:tint val="93000"/>
            </a:schemeClr>
          </a:solidFill>
          <a:ln>
            <a:noFill/>
          </a:ln>
          <a:effectLst/>
          <a:scene3d>
            <a:camera prst="orthographicFront"/>
            <a:lightRig rig="flat" dir="t"/>
          </a:scene3d>
          <a:sp3d prstMaterial="matte">
            <a:contourClr>
              <a:srgbClr val="000000"/>
            </a:contourClr>
          </a:sp3d>
        </c:spPr>
      </c:pivotFmt>
      <c:pivotFmt>
        <c:idx val="9"/>
        <c:spPr>
          <a:solidFill>
            <a:schemeClr val="accent1">
              <a:shade val="92000"/>
            </a:schemeClr>
          </a:solidFill>
          <a:ln>
            <a:noFill/>
          </a:ln>
          <a:effectLst/>
          <a:scene3d>
            <a:camera prst="orthographicFront"/>
            <a:lightRig rig="flat" dir="t"/>
          </a:scene3d>
          <a:sp3d prstMaterial="matte">
            <a:contourClr>
              <a:srgbClr val="000000"/>
            </a:contourClr>
          </a:sp3d>
        </c:spPr>
      </c:pivotFmt>
      <c:pivotFmt>
        <c:idx val="10"/>
        <c:spPr>
          <a:solidFill>
            <a:schemeClr val="accent1">
              <a:shade val="76000"/>
            </a:schemeClr>
          </a:solidFill>
          <a:ln>
            <a:noFill/>
          </a:ln>
          <a:effectLst/>
          <a:scene3d>
            <a:camera prst="orthographicFront"/>
            <a:lightRig rig="flat" dir="t"/>
          </a:scene3d>
          <a:sp3d prstMaterial="matte">
            <a:contourClr>
              <a:srgbClr val="000000"/>
            </a:contourClr>
          </a:sp3d>
        </c:spPr>
        <c:dLbl>
          <c:idx val="0"/>
          <c:layout>
            <c:manualLayout>
              <c:x val="0.1879194630872482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61000"/>
            </a:schemeClr>
          </a:solidFill>
          <a:ln>
            <a:noFill/>
          </a:ln>
          <a:effectLst/>
          <a:scene3d>
            <a:camera prst="orthographicFront"/>
            <a:lightRig rig="flat" dir="t"/>
          </a:scene3d>
          <a:sp3d prstMaterial="matte">
            <a:contourClr>
              <a:srgbClr val="000000"/>
            </a:contourClr>
          </a:sp3d>
        </c:spPr>
        <c:dLbl>
          <c:idx val="0"/>
          <c:layout>
            <c:manualLayout>
              <c:x val="-0.17718120805369131"/>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hade val="45000"/>
            </a:schemeClr>
          </a:solidFill>
          <a:ln>
            <a:noFill/>
          </a:ln>
          <a:effectLst/>
          <a:scene3d>
            <a:camera prst="orthographicFront"/>
            <a:lightRig rig="flat" dir="t"/>
          </a:scene3d>
          <a:sp3d prstMaterial="matte">
            <a:contourClr>
              <a:srgbClr val="000000"/>
            </a:contourClr>
          </a:sp3d>
        </c:spPr>
        <c:dLbl>
          <c:idx val="0"/>
          <c:layout>
            <c:manualLayout>
              <c:x val="-0.16107382550335569"/>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flat" dir="t"/>
          </a:scene3d>
          <a:sp3d prstMaterial="matt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tint val="46000"/>
            </a:schemeClr>
          </a:solidFill>
          <a:ln>
            <a:noFill/>
          </a:ln>
          <a:effectLst/>
          <a:scene3d>
            <a:camera prst="orthographicFront"/>
            <a:lightRig rig="flat" dir="t"/>
          </a:scene3d>
          <a:sp3d prstMaterial="matte">
            <a:contourClr>
              <a:srgbClr val="000000"/>
            </a:contourClr>
          </a:sp3d>
        </c:spPr>
      </c:pivotFmt>
      <c:pivotFmt>
        <c:idx val="15"/>
        <c:spPr>
          <a:solidFill>
            <a:schemeClr val="accent1">
              <a:tint val="62000"/>
            </a:schemeClr>
          </a:solidFill>
          <a:ln>
            <a:noFill/>
          </a:ln>
          <a:effectLst/>
          <a:scene3d>
            <a:camera prst="orthographicFront"/>
            <a:lightRig rig="flat" dir="t"/>
          </a:scene3d>
          <a:sp3d prstMaterial="matte">
            <a:contourClr>
              <a:srgbClr val="000000"/>
            </a:contourClr>
          </a:sp3d>
        </c:spPr>
      </c:pivotFmt>
      <c:pivotFmt>
        <c:idx val="16"/>
        <c:spPr>
          <a:solidFill>
            <a:schemeClr val="accent1">
              <a:tint val="77000"/>
            </a:schemeClr>
          </a:solidFill>
          <a:ln>
            <a:noFill/>
          </a:ln>
          <a:effectLst/>
          <a:scene3d>
            <a:camera prst="orthographicFront"/>
            <a:lightRig rig="flat" dir="t"/>
          </a:scene3d>
          <a:sp3d prstMaterial="matte">
            <a:contourClr>
              <a:srgbClr val="000000"/>
            </a:contourClr>
          </a:sp3d>
        </c:spPr>
      </c:pivotFmt>
      <c:pivotFmt>
        <c:idx val="17"/>
        <c:spPr>
          <a:solidFill>
            <a:schemeClr val="accent1">
              <a:tint val="93000"/>
            </a:schemeClr>
          </a:solidFill>
          <a:ln>
            <a:noFill/>
          </a:ln>
          <a:effectLst/>
          <a:scene3d>
            <a:camera prst="orthographicFront"/>
            <a:lightRig rig="flat" dir="t"/>
          </a:scene3d>
          <a:sp3d prstMaterial="matte">
            <a:contourClr>
              <a:srgbClr val="000000"/>
            </a:contourClr>
          </a:sp3d>
        </c:spPr>
      </c:pivotFmt>
      <c:pivotFmt>
        <c:idx val="18"/>
        <c:spPr>
          <a:solidFill>
            <a:schemeClr val="accent1">
              <a:shade val="92000"/>
            </a:schemeClr>
          </a:solidFill>
          <a:ln>
            <a:noFill/>
          </a:ln>
          <a:effectLst/>
          <a:scene3d>
            <a:camera prst="orthographicFront"/>
            <a:lightRig rig="flat" dir="t"/>
          </a:scene3d>
          <a:sp3d prstMaterial="matte">
            <a:contourClr>
              <a:srgbClr val="000000"/>
            </a:contourClr>
          </a:sp3d>
        </c:spPr>
      </c:pivotFmt>
      <c:pivotFmt>
        <c:idx val="19"/>
        <c:spPr>
          <a:solidFill>
            <a:schemeClr val="accent1">
              <a:shade val="76000"/>
            </a:schemeClr>
          </a:solidFill>
          <a:ln>
            <a:noFill/>
          </a:ln>
          <a:effectLst/>
          <a:scene3d>
            <a:camera prst="orthographicFront"/>
            <a:lightRig rig="flat" dir="t"/>
          </a:scene3d>
          <a:sp3d prstMaterial="matt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hade val="61000"/>
            </a:schemeClr>
          </a:solidFill>
          <a:ln>
            <a:noFill/>
          </a:ln>
          <a:effectLst/>
          <a:scene3d>
            <a:camera prst="orthographicFront"/>
            <a:lightRig rig="flat" dir="t"/>
          </a:scene3d>
          <a:sp3d prstMaterial="matt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hade val="45000"/>
            </a:schemeClr>
          </a:solidFill>
          <a:ln>
            <a:noFill/>
          </a:ln>
          <a:effectLst/>
          <a:scene3d>
            <a:camera prst="orthographicFront"/>
            <a:lightRig rig="flat" dir="t"/>
          </a:scene3d>
          <a:sp3d prstMaterial="matt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tint val="65000"/>
            </a:schemeClr>
          </a:solidFill>
          <a:ln>
            <a:noFill/>
          </a:ln>
          <a:effectLst/>
          <a:scene3d>
            <a:camera prst="orthographicFront"/>
            <a:lightRig rig="flat" dir="t"/>
          </a:scene3d>
          <a:sp3d prstMaterial="matte">
            <a:contourClr>
              <a:srgbClr val="000000"/>
            </a:contourClr>
          </a:sp3d>
        </c:spPr>
      </c:pivotFmt>
      <c:pivotFmt>
        <c:idx val="23"/>
        <c:spPr>
          <a:solidFill>
            <a:schemeClr val="accent1"/>
          </a:solidFill>
          <a:ln>
            <a:noFill/>
          </a:ln>
          <a:effectLst/>
          <a:scene3d>
            <a:camera prst="orthographicFront"/>
            <a:lightRig rig="flat" dir="t"/>
          </a:scene3d>
          <a:sp3d prstMaterial="matte">
            <a:contourClr>
              <a:srgbClr val="000000"/>
            </a:contourClr>
          </a:sp3d>
        </c:spPr>
      </c:pivotFmt>
      <c:pivotFmt>
        <c:idx val="24"/>
        <c:spPr>
          <a:solidFill>
            <a:schemeClr val="accent1"/>
          </a:solidFill>
          <a:ln>
            <a:noFill/>
          </a:ln>
          <a:effectLst/>
          <a:scene3d>
            <a:camera prst="orthographicFront"/>
            <a:lightRig rig="flat" dir="t"/>
          </a:scene3d>
          <a:sp3d prstMaterial="matte">
            <a:contourClr>
              <a:srgbClr val="000000"/>
            </a:contourClr>
          </a:sp3d>
        </c:spPr>
      </c:pivotFmt>
      <c:pivotFmt>
        <c:idx val="25"/>
        <c:spPr>
          <a:solidFill>
            <a:schemeClr val="accent1">
              <a:tint val="48000"/>
            </a:schemeClr>
          </a:solidFill>
          <a:ln>
            <a:noFill/>
          </a:ln>
          <a:effectLst/>
          <a:scene3d>
            <a:camera prst="orthographicFront"/>
            <a:lightRig rig="flat" dir="t"/>
          </a:scene3d>
          <a:sp3d prstMaterial="matte">
            <a:contourClr>
              <a:srgbClr val="000000"/>
            </a:contourClr>
          </a:sp3d>
        </c:spPr>
      </c:pivotFmt>
      <c:pivotFmt>
        <c:idx val="26"/>
        <c:spPr>
          <a:solidFill>
            <a:schemeClr val="accent1">
              <a:tint val="65000"/>
            </a:schemeClr>
          </a:solidFill>
          <a:ln>
            <a:noFill/>
          </a:ln>
          <a:effectLst/>
          <a:scene3d>
            <a:camera prst="orthographicFront"/>
            <a:lightRig rig="flat" dir="t"/>
          </a:scene3d>
          <a:sp3d prstMaterial="matte">
            <a:contourClr>
              <a:srgbClr val="000000"/>
            </a:contourClr>
          </a:sp3d>
        </c:spPr>
      </c:pivotFmt>
      <c:pivotFmt>
        <c:idx val="27"/>
        <c:spPr>
          <a:solidFill>
            <a:schemeClr val="accent1">
              <a:tint val="83000"/>
            </a:schemeClr>
          </a:solidFill>
          <a:ln>
            <a:noFill/>
          </a:ln>
          <a:effectLst/>
          <a:scene3d>
            <a:camera prst="orthographicFront"/>
            <a:lightRig rig="flat" dir="t"/>
          </a:scene3d>
          <a:sp3d prstMaterial="matte">
            <a:contourClr>
              <a:srgbClr val="000000"/>
            </a:contourClr>
          </a:sp3d>
        </c:spPr>
      </c:pivotFmt>
      <c:pivotFmt>
        <c:idx val="28"/>
        <c:spPr>
          <a:solidFill>
            <a:schemeClr val="accent1"/>
          </a:solidFill>
          <a:ln>
            <a:noFill/>
          </a:ln>
          <a:effectLst/>
          <a:scene3d>
            <a:camera prst="orthographicFront"/>
            <a:lightRig rig="flat" dir="t"/>
          </a:scene3d>
          <a:sp3d prstMaterial="matte">
            <a:contourClr>
              <a:srgbClr val="000000"/>
            </a:contourClr>
          </a:sp3d>
        </c:spPr>
      </c:pivotFmt>
      <c:pivotFmt>
        <c:idx val="29"/>
        <c:spPr>
          <a:solidFill>
            <a:schemeClr val="accent1">
              <a:shade val="82000"/>
            </a:schemeClr>
          </a:solidFill>
          <a:ln>
            <a:noFill/>
          </a:ln>
          <a:effectLst/>
          <a:scene3d>
            <a:camera prst="orthographicFront"/>
            <a:lightRig rig="flat" dir="t"/>
          </a:scene3d>
          <a:sp3d prstMaterial="matte">
            <a:contourClr>
              <a:srgbClr val="000000"/>
            </a:contourClr>
          </a:sp3d>
        </c:spPr>
      </c:pivotFmt>
      <c:pivotFmt>
        <c:idx val="30"/>
        <c:spPr>
          <a:solidFill>
            <a:schemeClr val="accent1">
              <a:shade val="47000"/>
            </a:schemeClr>
          </a:solidFill>
          <a:ln>
            <a:noFill/>
          </a:ln>
          <a:effectLst/>
          <a:scene3d>
            <a:camera prst="orthographicFront"/>
            <a:lightRig rig="flat" dir="t"/>
          </a:scene3d>
          <a:sp3d prstMaterial="matte">
            <a:contourClr>
              <a:srgbClr val="000000"/>
            </a:contourClr>
          </a:sp3d>
        </c:spPr>
      </c:pivotFmt>
      <c:pivotFmt>
        <c:idx val="31"/>
        <c:spPr>
          <a:solidFill>
            <a:schemeClr val="accent1">
              <a:shade val="65000"/>
            </a:schemeClr>
          </a:solidFill>
          <a:ln>
            <a:noFill/>
          </a:ln>
          <a:effectLst/>
          <a:scene3d>
            <a:camera prst="orthographicFront"/>
            <a:lightRig rig="flat" dir="t"/>
          </a:scene3d>
          <a:sp3d prstMaterial="matte">
            <a:contourClr>
              <a:srgbClr val="000000"/>
            </a:contourClr>
          </a:sp3d>
        </c:spPr>
      </c:pivotFmt>
    </c:pivotFmts>
    <c:plotArea>
      <c:layout>
        <c:manualLayout>
          <c:layoutTarget val="inner"/>
          <c:xMode val="edge"/>
          <c:yMode val="edge"/>
          <c:x val="0.2960802722057933"/>
          <c:y val="0.25087448225875369"/>
          <c:w val="0.37842786902768377"/>
          <c:h val="0.65020434174166752"/>
        </c:manualLayout>
      </c:layout>
      <c:pieChart>
        <c:varyColors val="1"/>
        <c:ser>
          <c:idx val="0"/>
          <c:order val="0"/>
          <c:tx>
            <c:strRef>
              <c:f>Config!$O$4</c:f>
              <c:strCache>
                <c:ptCount val="1"/>
                <c:pt idx="0">
                  <c:v>Total</c:v>
                </c:pt>
              </c:strCache>
            </c:strRef>
          </c:tx>
          <c:spPr>
            <a:ln>
              <a:noFill/>
            </a:ln>
            <a:scene3d>
              <a:camera prst="orthographicFront"/>
              <a:lightRig rig="flat" dir="t"/>
            </a:scene3d>
            <a:sp3d prstMaterial="matte">
              <a:contourClr>
                <a:srgbClr val="000000"/>
              </a:contourClr>
            </a:sp3d>
          </c:spPr>
          <c:dPt>
            <c:idx val="0"/>
            <c:bubble3D val="0"/>
            <c:spPr>
              <a:solidFill>
                <a:schemeClr val="accent1">
                  <a:tint val="48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1-8394-4D46-88CA-23DFAF320F9F}"/>
              </c:ext>
            </c:extLst>
          </c:dPt>
          <c:dPt>
            <c:idx val="1"/>
            <c:bubble3D val="0"/>
            <c:spPr>
              <a:solidFill>
                <a:schemeClr val="accent1">
                  <a:tint val="65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3-8394-4D46-88CA-23DFAF320F9F}"/>
              </c:ext>
            </c:extLst>
          </c:dPt>
          <c:dPt>
            <c:idx val="2"/>
            <c:bubble3D val="0"/>
            <c:spPr>
              <a:solidFill>
                <a:schemeClr val="accent1">
                  <a:tint val="83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5-8394-4D46-88CA-23DFAF320F9F}"/>
              </c:ext>
            </c:extLst>
          </c:dPt>
          <c:dPt>
            <c:idx val="3"/>
            <c:bubble3D val="0"/>
            <c:spPr>
              <a:solidFill>
                <a:schemeClr val="accent1"/>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7-2B50-4E2A-8FC7-83DA0E1AFA1E}"/>
              </c:ext>
            </c:extLst>
          </c:dPt>
          <c:dPt>
            <c:idx val="4"/>
            <c:bubble3D val="0"/>
            <c:spPr>
              <a:solidFill>
                <a:schemeClr val="accent1">
                  <a:shade val="82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9-2B50-4E2A-8FC7-83DA0E1AFA1E}"/>
              </c:ext>
            </c:extLst>
          </c:dPt>
          <c:dPt>
            <c:idx val="5"/>
            <c:bubble3D val="0"/>
            <c:spPr>
              <a:solidFill>
                <a:schemeClr val="accent1">
                  <a:shade val="65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B-2B50-4E2A-8FC7-83DA0E1AFA1E}"/>
              </c:ext>
            </c:extLst>
          </c:dPt>
          <c:dPt>
            <c:idx val="6"/>
            <c:bubble3D val="0"/>
            <c:spPr>
              <a:solidFill>
                <a:schemeClr val="accent1">
                  <a:shade val="47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D-2B50-4E2A-8FC7-83DA0E1AFA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Config!$N$5:$N$15</c:f>
              <c:multiLvlStrCache>
                <c:ptCount val="7"/>
                <c:lvl>
                  <c:pt idx="0">
                    <c:v>Groceries</c:v>
                  </c:pt>
                  <c:pt idx="1">
                    <c:v>Dental</c:v>
                  </c:pt>
                  <c:pt idx="2">
                    <c:v>Healthcare &amp; Medical</c:v>
                  </c:pt>
                  <c:pt idx="3">
                    <c:v>Specialist &amp; Natural Therapies</c:v>
                  </c:pt>
                  <c:pt idx="4">
                    <c:v>Car</c:v>
                  </c:pt>
                  <c:pt idx="5">
                    <c:v>Contents</c:v>
                  </c:pt>
                  <c:pt idx="6">
                    <c:v>Health</c:v>
                  </c:pt>
                </c:lvl>
                <c:lvl>
                  <c:pt idx="0">
                    <c:v>Groceries</c:v>
                  </c:pt>
                  <c:pt idx="1">
                    <c:v>Health</c:v>
                  </c:pt>
                  <c:pt idx="4">
                    <c:v>Insurance</c:v>
                  </c:pt>
                </c:lvl>
              </c:multiLvlStrCache>
            </c:multiLvlStrRef>
          </c:cat>
          <c:val>
            <c:numRef>
              <c:f>Config!$O$5:$O$15</c:f>
              <c:numCache>
                <c:formatCode>0.00%</c:formatCode>
                <c:ptCount val="7"/>
                <c:pt idx="0">
                  <c:v>7.5018754688672168E-2</c:v>
                </c:pt>
                <c:pt idx="1">
                  <c:v>0.30007501875468867</c:v>
                </c:pt>
                <c:pt idx="2">
                  <c:v>0.10502625656414104</c:v>
                </c:pt>
                <c:pt idx="3">
                  <c:v>0.11252813203300825</c:v>
                </c:pt>
                <c:pt idx="4">
                  <c:v>0.30007501875468867</c:v>
                </c:pt>
                <c:pt idx="5">
                  <c:v>2.2505626406601649E-2</c:v>
                </c:pt>
                <c:pt idx="6">
                  <c:v>8.4771192798199543E-2</c:v>
                </c:pt>
              </c:numCache>
            </c:numRef>
          </c:val>
          <c:extLst>
            <c:ext xmlns:c16="http://schemas.microsoft.com/office/drawing/2014/chart" uri="{C3380CC4-5D6E-409C-BE32-E72D297353CC}">
              <c16:uniqueId val="{00000010-8394-4D46-88CA-23DFAF320F9F}"/>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[Personal Budget Template.xlsx]Configuration!CatAPTBL</c:name>
    <c:fmtId val="49"/>
  </c:pivotSource>
  <c:chart>
    <c:title>
      <c:tx>
        <c:strRef>
          <c:f>ExpenseTBL[[#Headers],[Category A]]</c:f>
          <c:strCache>
            <c:ptCount val="1"/>
            <c:pt idx="0">
              <c:v>Category A</c:v>
            </c:pt>
          </c:strCache>
        </c:strRef>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flat" dir="t"/>
          </a:scene3d>
          <a:sp3d prstMaterial="matt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45000"/>
            </a:schemeClr>
          </a:solidFill>
          <a:ln>
            <a:noFill/>
          </a:ln>
          <a:effectLst/>
          <a:scene3d>
            <a:camera prst="orthographicFront"/>
            <a:lightRig rig="flat" dir="t"/>
          </a:scene3d>
          <a:sp3d prstMaterial="matte">
            <a:contourClr>
              <a:srgbClr val="000000"/>
            </a:contourClr>
          </a:sp3d>
        </c:spPr>
        <c:dLbl>
          <c:idx val="0"/>
          <c:layout>
            <c:manualLayout>
              <c:x val="-0.16107382550335569"/>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61000"/>
            </a:schemeClr>
          </a:solidFill>
          <a:ln>
            <a:noFill/>
          </a:ln>
          <a:effectLst/>
          <a:scene3d>
            <a:camera prst="orthographicFront"/>
            <a:lightRig rig="flat" dir="t"/>
          </a:scene3d>
          <a:sp3d prstMaterial="matte">
            <a:contourClr>
              <a:srgbClr val="000000"/>
            </a:contourClr>
          </a:sp3d>
        </c:spPr>
        <c:dLbl>
          <c:idx val="0"/>
          <c:layout>
            <c:manualLayout>
              <c:x val="-0.17718120805369131"/>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hade val="76000"/>
            </a:schemeClr>
          </a:solidFill>
          <a:ln>
            <a:noFill/>
          </a:ln>
          <a:effectLst/>
          <a:scene3d>
            <a:camera prst="orthographicFront"/>
            <a:lightRig rig="flat" dir="t"/>
          </a:scene3d>
          <a:sp3d prstMaterial="matte">
            <a:contourClr>
              <a:srgbClr val="000000"/>
            </a:contourClr>
          </a:sp3d>
        </c:spPr>
        <c:dLbl>
          <c:idx val="0"/>
          <c:layout>
            <c:manualLayout>
              <c:x val="0.1879194630872482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flat" dir="t"/>
          </a:scene3d>
          <a:sp3d prstMaterial="matt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tint val="46000"/>
            </a:schemeClr>
          </a:solidFill>
          <a:ln>
            <a:noFill/>
          </a:ln>
          <a:effectLst/>
          <a:scene3d>
            <a:camera prst="orthographicFront"/>
            <a:lightRig rig="flat" dir="t"/>
          </a:scene3d>
          <a:sp3d prstMaterial="matte">
            <a:contourClr>
              <a:srgbClr val="000000"/>
            </a:contourClr>
          </a:sp3d>
        </c:spPr>
      </c:pivotFmt>
      <c:pivotFmt>
        <c:idx val="6"/>
        <c:spPr>
          <a:solidFill>
            <a:schemeClr val="accent1">
              <a:tint val="62000"/>
            </a:schemeClr>
          </a:solidFill>
          <a:ln>
            <a:noFill/>
          </a:ln>
          <a:effectLst/>
          <a:scene3d>
            <a:camera prst="orthographicFront"/>
            <a:lightRig rig="flat" dir="t"/>
          </a:scene3d>
          <a:sp3d prstMaterial="matte">
            <a:contourClr>
              <a:srgbClr val="000000"/>
            </a:contourClr>
          </a:sp3d>
        </c:spPr>
      </c:pivotFmt>
      <c:pivotFmt>
        <c:idx val="7"/>
        <c:spPr>
          <a:solidFill>
            <a:schemeClr val="accent1">
              <a:tint val="77000"/>
            </a:schemeClr>
          </a:solidFill>
          <a:ln>
            <a:noFill/>
          </a:ln>
          <a:effectLst/>
          <a:scene3d>
            <a:camera prst="orthographicFront"/>
            <a:lightRig rig="flat" dir="t"/>
          </a:scene3d>
          <a:sp3d prstMaterial="matte">
            <a:contourClr>
              <a:srgbClr val="000000"/>
            </a:contourClr>
          </a:sp3d>
        </c:spPr>
      </c:pivotFmt>
      <c:pivotFmt>
        <c:idx val="8"/>
        <c:spPr>
          <a:solidFill>
            <a:schemeClr val="accent1">
              <a:tint val="93000"/>
            </a:schemeClr>
          </a:solidFill>
          <a:ln>
            <a:noFill/>
          </a:ln>
          <a:effectLst/>
          <a:scene3d>
            <a:camera prst="orthographicFront"/>
            <a:lightRig rig="flat" dir="t"/>
          </a:scene3d>
          <a:sp3d prstMaterial="matte">
            <a:contourClr>
              <a:srgbClr val="000000"/>
            </a:contourClr>
          </a:sp3d>
        </c:spPr>
      </c:pivotFmt>
      <c:pivotFmt>
        <c:idx val="9"/>
        <c:spPr>
          <a:solidFill>
            <a:schemeClr val="accent1">
              <a:shade val="92000"/>
            </a:schemeClr>
          </a:solidFill>
          <a:ln>
            <a:noFill/>
          </a:ln>
          <a:effectLst/>
          <a:scene3d>
            <a:camera prst="orthographicFront"/>
            <a:lightRig rig="flat" dir="t"/>
          </a:scene3d>
          <a:sp3d prstMaterial="matte">
            <a:contourClr>
              <a:srgbClr val="000000"/>
            </a:contourClr>
          </a:sp3d>
        </c:spPr>
      </c:pivotFmt>
      <c:pivotFmt>
        <c:idx val="10"/>
        <c:spPr>
          <a:solidFill>
            <a:schemeClr val="accent1">
              <a:shade val="76000"/>
            </a:schemeClr>
          </a:solidFill>
          <a:ln>
            <a:noFill/>
          </a:ln>
          <a:effectLst/>
          <a:scene3d>
            <a:camera prst="orthographicFront"/>
            <a:lightRig rig="flat" dir="t"/>
          </a:scene3d>
          <a:sp3d prstMaterial="matte">
            <a:contourClr>
              <a:srgbClr val="000000"/>
            </a:contourClr>
          </a:sp3d>
        </c:spPr>
        <c:dLbl>
          <c:idx val="0"/>
          <c:layout>
            <c:manualLayout>
              <c:x val="0.1879194630872482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61000"/>
            </a:schemeClr>
          </a:solidFill>
          <a:ln>
            <a:noFill/>
          </a:ln>
          <a:effectLst/>
          <a:scene3d>
            <a:camera prst="orthographicFront"/>
            <a:lightRig rig="flat" dir="t"/>
          </a:scene3d>
          <a:sp3d prstMaterial="matte">
            <a:contourClr>
              <a:srgbClr val="000000"/>
            </a:contourClr>
          </a:sp3d>
        </c:spPr>
        <c:dLbl>
          <c:idx val="0"/>
          <c:layout>
            <c:manualLayout>
              <c:x val="-0.17718120805369131"/>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hade val="45000"/>
            </a:schemeClr>
          </a:solidFill>
          <a:ln>
            <a:noFill/>
          </a:ln>
          <a:effectLst/>
          <a:scene3d>
            <a:camera prst="orthographicFront"/>
            <a:lightRig rig="flat" dir="t"/>
          </a:scene3d>
          <a:sp3d prstMaterial="matte">
            <a:contourClr>
              <a:srgbClr val="000000"/>
            </a:contourClr>
          </a:sp3d>
        </c:spPr>
        <c:dLbl>
          <c:idx val="0"/>
          <c:layout>
            <c:manualLayout>
              <c:x val="-0.16107382550335569"/>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flat" dir="t"/>
          </a:scene3d>
          <a:sp3d prstMaterial="matt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tint val="46000"/>
            </a:schemeClr>
          </a:solidFill>
          <a:ln>
            <a:noFill/>
          </a:ln>
          <a:effectLst/>
          <a:scene3d>
            <a:camera prst="orthographicFront"/>
            <a:lightRig rig="flat" dir="t"/>
          </a:scene3d>
          <a:sp3d prstMaterial="matte">
            <a:contourClr>
              <a:srgbClr val="000000"/>
            </a:contourClr>
          </a:sp3d>
        </c:spPr>
      </c:pivotFmt>
      <c:pivotFmt>
        <c:idx val="15"/>
        <c:spPr>
          <a:solidFill>
            <a:schemeClr val="accent1">
              <a:tint val="62000"/>
            </a:schemeClr>
          </a:solidFill>
          <a:ln>
            <a:noFill/>
          </a:ln>
          <a:effectLst/>
          <a:scene3d>
            <a:camera prst="orthographicFront"/>
            <a:lightRig rig="flat" dir="t"/>
          </a:scene3d>
          <a:sp3d prstMaterial="matte">
            <a:contourClr>
              <a:srgbClr val="000000"/>
            </a:contourClr>
          </a:sp3d>
        </c:spPr>
      </c:pivotFmt>
      <c:pivotFmt>
        <c:idx val="16"/>
        <c:spPr>
          <a:solidFill>
            <a:schemeClr val="accent1">
              <a:tint val="77000"/>
            </a:schemeClr>
          </a:solidFill>
          <a:ln>
            <a:noFill/>
          </a:ln>
          <a:effectLst/>
          <a:scene3d>
            <a:camera prst="orthographicFront"/>
            <a:lightRig rig="flat" dir="t"/>
          </a:scene3d>
          <a:sp3d prstMaterial="matte">
            <a:contourClr>
              <a:srgbClr val="000000"/>
            </a:contourClr>
          </a:sp3d>
        </c:spPr>
      </c:pivotFmt>
      <c:pivotFmt>
        <c:idx val="17"/>
        <c:spPr>
          <a:solidFill>
            <a:schemeClr val="accent1">
              <a:tint val="93000"/>
            </a:schemeClr>
          </a:solidFill>
          <a:ln>
            <a:noFill/>
          </a:ln>
          <a:effectLst/>
          <a:scene3d>
            <a:camera prst="orthographicFront"/>
            <a:lightRig rig="flat" dir="t"/>
          </a:scene3d>
          <a:sp3d prstMaterial="matte">
            <a:contourClr>
              <a:srgbClr val="000000"/>
            </a:contourClr>
          </a:sp3d>
        </c:spPr>
      </c:pivotFmt>
      <c:pivotFmt>
        <c:idx val="18"/>
        <c:spPr>
          <a:solidFill>
            <a:schemeClr val="accent1">
              <a:shade val="92000"/>
            </a:schemeClr>
          </a:solidFill>
          <a:ln>
            <a:noFill/>
          </a:ln>
          <a:effectLst/>
          <a:scene3d>
            <a:camera prst="orthographicFront"/>
            <a:lightRig rig="flat" dir="t"/>
          </a:scene3d>
          <a:sp3d prstMaterial="matte">
            <a:contourClr>
              <a:srgbClr val="000000"/>
            </a:contourClr>
          </a:sp3d>
        </c:spPr>
      </c:pivotFmt>
      <c:pivotFmt>
        <c:idx val="19"/>
        <c:spPr>
          <a:solidFill>
            <a:schemeClr val="accent1">
              <a:shade val="76000"/>
            </a:schemeClr>
          </a:solidFill>
          <a:ln>
            <a:noFill/>
          </a:ln>
          <a:effectLst/>
          <a:scene3d>
            <a:camera prst="orthographicFront"/>
            <a:lightRig rig="flat" dir="t"/>
          </a:scene3d>
          <a:sp3d prstMaterial="matt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hade val="61000"/>
            </a:schemeClr>
          </a:solidFill>
          <a:ln>
            <a:noFill/>
          </a:ln>
          <a:effectLst/>
          <a:scene3d>
            <a:camera prst="orthographicFront"/>
            <a:lightRig rig="flat" dir="t"/>
          </a:scene3d>
          <a:sp3d prstMaterial="matt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hade val="45000"/>
            </a:schemeClr>
          </a:solidFill>
          <a:ln>
            <a:noFill/>
          </a:ln>
          <a:effectLst/>
          <a:scene3d>
            <a:camera prst="orthographicFront"/>
            <a:lightRig rig="flat" dir="t"/>
          </a:scene3d>
          <a:sp3d prstMaterial="matt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tint val="65000"/>
            </a:schemeClr>
          </a:solidFill>
          <a:ln>
            <a:noFill/>
          </a:ln>
          <a:effectLst/>
          <a:scene3d>
            <a:camera prst="orthographicFront"/>
            <a:lightRig rig="flat" dir="t"/>
          </a:scene3d>
          <a:sp3d prstMaterial="matte">
            <a:contourClr>
              <a:srgbClr val="000000"/>
            </a:contourClr>
          </a:sp3d>
        </c:spPr>
      </c:pivotFmt>
      <c:pivotFmt>
        <c:idx val="23"/>
        <c:spPr>
          <a:solidFill>
            <a:schemeClr val="accent1"/>
          </a:solidFill>
          <a:ln>
            <a:noFill/>
          </a:ln>
          <a:effectLst/>
          <a:scene3d>
            <a:camera prst="orthographicFront"/>
            <a:lightRig rig="flat" dir="t"/>
          </a:scene3d>
          <a:sp3d prstMaterial="matte">
            <a:contourClr>
              <a:srgbClr val="000000"/>
            </a:contourClr>
          </a:sp3d>
        </c:spPr>
      </c:pivotFmt>
      <c:pivotFmt>
        <c:idx val="24"/>
        <c:spPr>
          <a:solidFill>
            <a:schemeClr val="accent1">
              <a:shade val="65000"/>
            </a:schemeClr>
          </a:solidFill>
          <a:ln>
            <a:noFill/>
          </a:ln>
          <a:effectLst/>
          <a:scene3d>
            <a:camera prst="orthographicFront"/>
            <a:lightRig rig="flat" dir="t"/>
          </a:scene3d>
          <a:sp3d prstMaterial="matte">
            <a:contourClr>
              <a:srgbClr val="000000"/>
            </a:contourClr>
          </a:sp3d>
        </c:spPr>
      </c:pivotFmt>
      <c:pivotFmt>
        <c:idx val="25"/>
        <c:spPr>
          <a:solidFill>
            <a:schemeClr val="accent1"/>
          </a:solidFill>
          <a:ln>
            <a:noFill/>
          </a:ln>
          <a:effectLst/>
          <a:scene3d>
            <a:camera prst="orthographicFront"/>
            <a:lightRig rig="flat" dir="t"/>
          </a:scene3d>
          <a:sp3d prstMaterial="matt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tint val="48000"/>
            </a:schemeClr>
          </a:solidFill>
          <a:ln>
            <a:noFill/>
          </a:ln>
          <a:effectLst/>
          <a:scene3d>
            <a:camera prst="orthographicFront"/>
            <a:lightRig rig="flat" dir="t"/>
          </a:scene3d>
          <a:sp3d prstMaterial="matte">
            <a:contourClr>
              <a:srgbClr val="000000"/>
            </a:contourClr>
          </a:sp3d>
        </c:spPr>
      </c:pivotFmt>
      <c:pivotFmt>
        <c:idx val="27"/>
        <c:spPr>
          <a:solidFill>
            <a:schemeClr val="accent1">
              <a:tint val="65000"/>
            </a:schemeClr>
          </a:solidFill>
          <a:ln>
            <a:noFill/>
          </a:ln>
          <a:effectLst/>
          <a:scene3d>
            <a:camera prst="orthographicFront"/>
            <a:lightRig rig="flat" dir="t"/>
          </a:scene3d>
          <a:sp3d prstMaterial="matte">
            <a:contourClr>
              <a:srgbClr val="000000"/>
            </a:contourClr>
          </a:sp3d>
        </c:spPr>
      </c:pivotFmt>
      <c:pivotFmt>
        <c:idx val="28"/>
        <c:spPr>
          <a:solidFill>
            <a:schemeClr val="accent1">
              <a:tint val="83000"/>
            </a:schemeClr>
          </a:solidFill>
          <a:ln>
            <a:noFill/>
          </a:ln>
          <a:effectLst/>
          <a:scene3d>
            <a:camera prst="orthographicFront"/>
            <a:lightRig rig="flat" dir="t"/>
          </a:scene3d>
          <a:sp3d prstMaterial="matte">
            <a:contourClr>
              <a:srgbClr val="000000"/>
            </a:contourClr>
          </a:sp3d>
        </c:spPr>
      </c:pivotFmt>
    </c:pivotFmts>
    <c:plotArea>
      <c:layout>
        <c:manualLayout>
          <c:layoutTarget val="inner"/>
          <c:xMode val="edge"/>
          <c:yMode val="edge"/>
          <c:x val="0.2960802722057933"/>
          <c:y val="0.25087448225875369"/>
          <c:w val="0.37842786902768377"/>
          <c:h val="0.65020434174166752"/>
        </c:manualLayout>
      </c:layout>
      <c:pieChart>
        <c:varyColors val="1"/>
        <c:ser>
          <c:idx val="0"/>
          <c:order val="0"/>
          <c:tx>
            <c:strRef>
              <c:f>Config!$L$4</c:f>
              <c:strCache>
                <c:ptCount val="1"/>
                <c:pt idx="0">
                  <c:v>Total</c:v>
                </c:pt>
              </c:strCache>
            </c:strRef>
          </c:tx>
          <c:spPr>
            <a:ln>
              <a:noFill/>
            </a:ln>
            <a:scene3d>
              <a:camera prst="orthographicFront"/>
              <a:lightRig rig="flat" dir="t"/>
            </a:scene3d>
            <a:sp3d prstMaterial="matte">
              <a:contourClr>
                <a:srgbClr val="000000"/>
              </a:contourClr>
            </a:sp3d>
          </c:spPr>
          <c:dPt>
            <c:idx val="0"/>
            <c:bubble3D val="0"/>
            <c:spPr>
              <a:solidFill>
                <a:schemeClr val="accent1">
                  <a:tint val="48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1-8394-4D46-88CA-23DFAF320F9F}"/>
              </c:ext>
            </c:extLst>
          </c:dPt>
          <c:dPt>
            <c:idx val="1"/>
            <c:bubble3D val="0"/>
            <c:spPr>
              <a:solidFill>
                <a:schemeClr val="accent1">
                  <a:tint val="65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3-8394-4D46-88CA-23DFAF320F9F}"/>
              </c:ext>
            </c:extLst>
          </c:dPt>
          <c:dPt>
            <c:idx val="2"/>
            <c:bubble3D val="0"/>
            <c:spPr>
              <a:solidFill>
                <a:schemeClr val="accent1">
                  <a:tint val="83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5-8394-4D46-88CA-23DFAF320F9F}"/>
              </c:ext>
            </c:extLst>
          </c:dPt>
          <c:dPt>
            <c:idx val="3"/>
            <c:bubble3D val="0"/>
            <c:spPr>
              <a:solidFill>
                <a:schemeClr val="accent1">
                  <a:shade val="65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0F-9F2C-4CD7-979D-66FC95E40D64}"/>
              </c:ext>
            </c:extLst>
          </c:dPt>
          <c:dPt>
            <c:idx val="4"/>
            <c:bubble3D val="0"/>
            <c:spPr>
              <a:solidFill>
                <a:schemeClr val="accent1">
                  <a:shade val="65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11-9F2C-4CD7-979D-66FC95E40D64}"/>
              </c:ext>
            </c:extLst>
          </c:dPt>
          <c:dPt>
            <c:idx val="5"/>
            <c:bubble3D val="0"/>
            <c:spPr>
              <a:solidFill>
                <a:schemeClr val="accent1">
                  <a:shade val="65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13-9F2C-4CD7-979D-66FC95E40D64}"/>
              </c:ext>
            </c:extLst>
          </c:dPt>
          <c:dPt>
            <c:idx val="6"/>
            <c:bubble3D val="0"/>
            <c:spPr>
              <a:solidFill>
                <a:schemeClr val="accent1">
                  <a:shade val="65000"/>
                </a:schemeClr>
              </a:solidFill>
              <a:ln>
                <a:noFill/>
              </a:ln>
              <a:effectLst/>
              <a:scene3d>
                <a:camera prst="orthographicFront"/>
                <a:lightRig rig="flat" dir="t"/>
              </a:scene3d>
              <a:sp3d prstMaterial="matte">
                <a:contourClr>
                  <a:srgbClr val="000000"/>
                </a:contourClr>
              </a:sp3d>
            </c:spPr>
            <c:extLst>
              <c:ext xmlns:c16="http://schemas.microsoft.com/office/drawing/2014/chart" uri="{C3380CC4-5D6E-409C-BE32-E72D297353CC}">
                <c16:uniqueId val="{00000015-9F2C-4CD7-979D-66FC95E40D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95959"/>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Config!$K$5:$K$8</c:f>
              <c:strCache>
                <c:ptCount val="3"/>
                <c:pt idx="0">
                  <c:v>Groceries</c:v>
                </c:pt>
                <c:pt idx="1">
                  <c:v>Health</c:v>
                </c:pt>
                <c:pt idx="2">
                  <c:v>Insurance</c:v>
                </c:pt>
              </c:strCache>
            </c:strRef>
          </c:cat>
          <c:val>
            <c:numRef>
              <c:f>Config!$L$5:$L$8</c:f>
              <c:numCache>
                <c:formatCode>0.00%</c:formatCode>
                <c:ptCount val="3"/>
                <c:pt idx="0">
                  <c:v>7.5018754688672168E-2</c:v>
                </c:pt>
                <c:pt idx="1">
                  <c:v>0.51762940735183793</c:v>
                </c:pt>
                <c:pt idx="2">
                  <c:v>0.40735183795948987</c:v>
                </c:pt>
              </c:numCache>
            </c:numRef>
          </c:val>
          <c:extLst>
            <c:ext xmlns:c16="http://schemas.microsoft.com/office/drawing/2014/chart" uri="{C3380CC4-5D6E-409C-BE32-E72D297353CC}">
              <c16:uniqueId val="{00000010-8394-4D46-88CA-23DFAF320F9F}"/>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0</xdr:rowOff>
    </xdr:from>
    <xdr:to>
      <xdr:col>9</xdr:col>
      <xdr:colOff>273600</xdr:colOff>
      <xdr:row>36</xdr:row>
      <xdr:rowOff>0</xdr:rowOff>
    </xdr:to>
    <xdr:graphicFrame macro="">
      <xdr:nvGraphicFramePr>
        <xdr:cNvPr id="2" name="Chart 1">
          <a:extLst>
            <a:ext uri="{FF2B5EF4-FFF2-40B4-BE49-F238E27FC236}">
              <a16:creationId xmlns:a16="http://schemas.microsoft.com/office/drawing/2014/main" id="{275C6C01-0BB7-454D-BFD9-E0834D789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19</xdr:row>
      <xdr:rowOff>0</xdr:rowOff>
    </xdr:from>
    <xdr:to>
      <xdr:col>11</xdr:col>
      <xdr:colOff>0</xdr:colOff>
      <xdr:row>36</xdr:row>
      <xdr:rowOff>0</xdr:rowOff>
    </xdr:to>
    <mc:AlternateContent xmlns:mc="http://schemas.openxmlformats.org/markup-compatibility/2006" xmlns:a14="http://schemas.microsoft.com/office/drawing/2010/main">
      <mc:Choice Requires="a14">
        <xdr:graphicFrame macro="">
          <xdr:nvGraphicFramePr>
            <xdr:cNvPr id="4" name="Category A">
              <a:extLst>
                <a:ext uri="{FF2B5EF4-FFF2-40B4-BE49-F238E27FC236}">
                  <a16:creationId xmlns:a16="http://schemas.microsoft.com/office/drawing/2014/main" id="{EF995329-5031-4285-9CDF-3522ABC4C079}"/>
                </a:ext>
              </a:extLst>
            </xdr:cNvPr>
            <xdr:cNvGraphicFramePr/>
          </xdr:nvGraphicFramePr>
          <xdr:xfrm>
            <a:off x="0" y="0"/>
            <a:ext cx="0" cy="0"/>
          </xdr:xfrm>
          <a:graphic>
            <a:graphicData uri="http://schemas.microsoft.com/office/drawing/2010/slicer">
              <sle:slicer xmlns:sle="http://schemas.microsoft.com/office/drawing/2010/slicer" name="Category A"/>
            </a:graphicData>
          </a:graphic>
        </xdr:graphicFrame>
      </mc:Choice>
      <mc:Fallback xmlns="">
        <xdr:sp macro="" textlink="">
          <xdr:nvSpPr>
            <xdr:cNvPr id="0" name=""/>
            <xdr:cNvSpPr>
              <a:spLocks noTextEdit="1"/>
            </xdr:cNvSpPr>
          </xdr:nvSpPr>
          <xdr:spPr>
            <a:xfrm>
              <a:off x="4813300" y="3338700"/>
              <a:ext cx="1828800" cy="3024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19</xdr:row>
      <xdr:rowOff>0</xdr:rowOff>
    </xdr:from>
    <xdr:to>
      <xdr:col>14</xdr:col>
      <xdr:colOff>0</xdr:colOff>
      <xdr:row>36</xdr:row>
      <xdr:rowOff>0</xdr:rowOff>
    </xdr:to>
    <mc:AlternateContent xmlns:mc="http://schemas.openxmlformats.org/markup-compatibility/2006" xmlns:a14="http://schemas.microsoft.com/office/drawing/2010/main">
      <mc:Choice Requires="a14">
        <xdr:graphicFrame macro="">
          <xdr:nvGraphicFramePr>
            <xdr:cNvPr id="5" name="Category B">
              <a:extLst>
                <a:ext uri="{FF2B5EF4-FFF2-40B4-BE49-F238E27FC236}">
                  <a16:creationId xmlns:a16="http://schemas.microsoft.com/office/drawing/2014/main" id="{6BD3D2E4-264D-44E9-B7B7-D0CE4A75FFD4}"/>
                </a:ext>
              </a:extLst>
            </xdr:cNvPr>
            <xdr:cNvGraphicFramePr/>
          </xdr:nvGraphicFramePr>
          <xdr:xfrm>
            <a:off x="0" y="0"/>
            <a:ext cx="0" cy="0"/>
          </xdr:xfrm>
          <a:graphic>
            <a:graphicData uri="http://schemas.microsoft.com/office/drawing/2010/slicer">
              <sle:slicer xmlns:sle="http://schemas.microsoft.com/office/drawing/2010/slicer" name="Category B"/>
            </a:graphicData>
          </a:graphic>
        </xdr:graphicFrame>
      </mc:Choice>
      <mc:Fallback xmlns="">
        <xdr:sp macro="" textlink="">
          <xdr:nvSpPr>
            <xdr:cNvPr id="0" name=""/>
            <xdr:cNvSpPr>
              <a:spLocks noTextEdit="1"/>
            </xdr:cNvSpPr>
          </xdr:nvSpPr>
          <xdr:spPr>
            <a:xfrm>
              <a:off x="6705600" y="3498850"/>
              <a:ext cx="1828800" cy="31305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0</xdr:row>
      <xdr:rowOff>0</xdr:rowOff>
    </xdr:from>
    <xdr:to>
      <xdr:col>20</xdr:col>
      <xdr:colOff>273600</xdr:colOff>
      <xdr:row>18</xdr:row>
      <xdr:rowOff>0</xdr:rowOff>
    </xdr:to>
    <xdr:graphicFrame macro="">
      <xdr:nvGraphicFramePr>
        <xdr:cNvPr id="6" name="Chart 5">
          <a:extLst>
            <a:ext uri="{FF2B5EF4-FFF2-40B4-BE49-F238E27FC236}">
              <a16:creationId xmlns:a16="http://schemas.microsoft.com/office/drawing/2014/main" id="{3102AF94-0375-4C07-B57A-2181571B4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1</xdr:row>
      <xdr:rowOff>0</xdr:rowOff>
    </xdr:from>
    <xdr:to>
      <xdr:col>22</xdr:col>
      <xdr:colOff>0</xdr:colOff>
      <xdr:row>18</xdr:row>
      <xdr:rowOff>0</xdr:rowOff>
    </xdr:to>
    <mc:AlternateContent xmlns:mc="http://schemas.openxmlformats.org/markup-compatibility/2006">
      <mc:Choice xmlns:a14="http://schemas.microsoft.com/office/drawing/2010/main" Requires="a14">
        <xdr:graphicFrame macro="">
          <xdr:nvGraphicFramePr>
            <xdr:cNvPr id="9" name="Category A 1">
              <a:extLst>
                <a:ext uri="{FF2B5EF4-FFF2-40B4-BE49-F238E27FC236}">
                  <a16:creationId xmlns:a16="http://schemas.microsoft.com/office/drawing/2014/main" id="{37C11077-B377-40B6-8ABB-01B59D1DA155}"/>
                </a:ext>
              </a:extLst>
            </xdr:cNvPr>
            <xdr:cNvGraphicFramePr/>
          </xdr:nvGraphicFramePr>
          <xdr:xfrm>
            <a:off x="0" y="0"/>
            <a:ext cx="0" cy="0"/>
          </xdr:xfrm>
          <a:graphic>
            <a:graphicData uri="http://schemas.microsoft.com/office/drawing/2010/slicer">
              <sle:slicer xmlns:sle="http://schemas.microsoft.com/office/drawing/2010/slicer" name="Category A 1"/>
            </a:graphicData>
          </a:graphic>
        </xdr:graphicFrame>
      </mc:Choice>
      <mc:Fallback>
        <xdr:sp macro="" textlink="">
          <xdr:nvSpPr>
            <xdr:cNvPr id="0" name=""/>
            <xdr:cNvSpPr>
              <a:spLocks noTextEdit="1"/>
            </xdr:cNvSpPr>
          </xdr:nvSpPr>
          <xdr:spPr>
            <a:xfrm>
              <a:off x="11582400" y="184150"/>
              <a:ext cx="1828800" cy="31305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Ben Holt" refreshedDate="46095.65215347222" createdVersion="8" refreshedVersion="8" minRefreshableVersion="3" recordCount="8" xr:uid="{3F23CC14-0A66-4675-B9BB-18612A71114C}">
  <cacheSource type="worksheet">
    <worksheetSource name="ExpenseTBL"/>
  </cacheSource>
  <cacheFields count="6">
    <cacheField name="Category A" numFmtId="0">
      <sharedItems count="3">
        <s v="Insurance"/>
        <s v="Groceries"/>
        <s v="Health"/>
      </sharedItems>
    </cacheField>
    <cacheField name="Category B" numFmtId="0">
      <sharedItems count="8">
        <s v="Health"/>
        <s v="Contents"/>
        <s v="Car"/>
        <s v="Alcohol"/>
        <s v="Groceries"/>
        <s v="Dental"/>
        <s v="Healthcare &amp; Medical"/>
        <s v="Specialist &amp; Natural Therapies"/>
      </sharedItems>
    </cacheField>
    <cacheField name="Amount" numFmtId="43">
      <sharedItems containsSemiMixedTypes="0" containsString="0" containsNumber="1" containsInteger="1" minValue="0" maxValue="400"/>
    </cacheField>
    <cacheField name="Frequency" numFmtId="164">
      <sharedItems containsSemiMixedTypes="0" containsString="0" containsNumber="1" containsInteger="1" minValue="1" maxValue="3"/>
    </cacheField>
    <cacheField name="Period2" numFmtId="0">
      <sharedItems/>
    </cacheField>
    <cacheField name="Total" numFmtId="43">
      <sharedItems containsSemiMixedTypes="0" containsString="0" containsNumber="1" containsInteger="1" minValue="0" maxValue="5200"/>
    </cacheField>
  </cacheFields>
  <extLst>
    <ext xmlns:x14="http://schemas.microsoft.com/office/spreadsheetml/2009/9/main" uri="{725AE2AE-9491-48be-B2B4-4EB974FC3084}">
      <x14:pivotCacheDefinition pivotCacheId="1190299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n v="113"/>
    <n v="1"/>
    <s v="Month"/>
    <n v="1356"/>
  </r>
  <r>
    <x v="0"/>
    <x v="1"/>
    <n v="30"/>
    <n v="1"/>
    <s v="Month"/>
    <n v="360"/>
  </r>
  <r>
    <x v="0"/>
    <x v="2"/>
    <n v="400"/>
    <n v="1"/>
    <s v="Year"/>
    <n v="400"/>
  </r>
  <r>
    <x v="1"/>
    <x v="3"/>
    <n v="0"/>
    <n v="1"/>
    <s v="Year"/>
    <n v="0"/>
  </r>
  <r>
    <x v="1"/>
    <x v="4"/>
    <n v="100"/>
    <n v="1"/>
    <s v="Week"/>
    <n v="5200"/>
  </r>
  <r>
    <x v="2"/>
    <x v="5"/>
    <n v="400"/>
    <n v="2"/>
    <s v="Year"/>
    <n v="800"/>
  </r>
  <r>
    <x v="2"/>
    <x v="6"/>
    <n v="140"/>
    <n v="3"/>
    <s v="Year"/>
    <n v="420"/>
  </r>
  <r>
    <x v="2"/>
    <x v="7"/>
    <n v="150"/>
    <n v="1"/>
    <s v="Month"/>
    <n v="1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993125-423B-45F2-A453-CF11CF7946B3}" name="CatAPTBL" cacheId="5" applyNumberFormats="0" applyBorderFormats="0" applyFontFormats="0" applyPatternFormats="0" applyAlignmentFormats="0" applyWidthHeightFormats="1" dataCaption="Values" updatedVersion="8" minRefreshableVersion="3" showDrill="0" showDataTips="0" useAutoFormatting="1" colGrandTotals="0" itemPrintTitles="1" mergeItem="1" createdVersion="8" indent="0" outline="1" outlineData="1" chartFormat="55">
  <location ref="R2:S6" firstHeaderRow="1" firstDataRow="1" firstDataCol="1"/>
  <pivotFields count="6">
    <pivotField axis="axisRow" showAll="0" measureFilter="1" sortType="ascending">
      <items count="4">
        <item x="1"/>
        <item x="2"/>
        <item x="0"/>
        <item t="default"/>
      </items>
    </pivotField>
    <pivotField showAll="0" measureFilter="1"/>
    <pivotField dataField="1" numFmtId="43" showAll="0"/>
    <pivotField numFmtId="164" showAll="0"/>
    <pivotField showAll="0"/>
    <pivotField numFmtId="43" showAll="0"/>
  </pivotFields>
  <rowFields count="1">
    <field x="0"/>
  </rowFields>
  <rowItems count="4">
    <i>
      <x/>
    </i>
    <i>
      <x v="1"/>
    </i>
    <i>
      <x v="2"/>
    </i>
    <i t="grand">
      <x/>
    </i>
  </rowItems>
  <colItems count="1">
    <i/>
  </colItems>
  <dataFields count="1">
    <dataField name="Sum of Amount" fld="2" showDataAs="percentOfTotal" baseField="0" baseItem="0" numFmtId="10"/>
  </dataFields>
  <chartFormats count="11">
    <chartFormat chart="18" format="13" series="1">
      <pivotArea type="data" outline="0" fieldPosition="0">
        <references count="1">
          <reference field="4294967294" count="1" selected="0">
            <x v="0"/>
          </reference>
        </references>
      </pivotArea>
    </chartFormat>
    <chartFormat chart="19"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0" count="1" selected="0">
            <x v="0"/>
          </reference>
        </references>
      </pivotArea>
    </chartFormat>
    <chartFormat chart="18" format="23">
      <pivotArea type="data" outline="0" fieldPosition="0">
        <references count="2">
          <reference field="4294967294" count="1" selected="0">
            <x v="0"/>
          </reference>
          <reference field="0" count="1" selected="0">
            <x v="1"/>
          </reference>
        </references>
      </pivotArea>
    </chartFormat>
    <chartFormat chart="18" format="24">
      <pivotArea type="data" outline="0" fieldPosition="0">
        <references count="2">
          <reference field="4294967294" count="1" selected="0">
            <x v="0"/>
          </reference>
          <reference field="0" count="1" selected="0">
            <x v="2"/>
          </reference>
        </references>
      </pivotArea>
    </chartFormat>
    <chartFormat chart="19" format="30">
      <pivotArea type="data" outline="0" fieldPosition="0">
        <references count="2">
          <reference field="4294967294" count="1" selected="0">
            <x v="0"/>
          </reference>
          <reference field="0" count="1" selected="0">
            <x v="0"/>
          </reference>
        </references>
      </pivotArea>
    </chartFormat>
    <chartFormat chart="49" format="25" series="1">
      <pivotArea type="data" outline="0" fieldPosition="0">
        <references count="1">
          <reference field="4294967294" count="1" selected="0">
            <x v="0"/>
          </reference>
        </references>
      </pivotArea>
    </chartFormat>
    <chartFormat chart="49" format="26">
      <pivotArea type="data" outline="0" fieldPosition="0">
        <references count="2">
          <reference field="4294967294" count="1" selected="0">
            <x v="0"/>
          </reference>
          <reference field="0" count="1" selected="0">
            <x v="0"/>
          </reference>
        </references>
      </pivotArea>
    </chartFormat>
    <chartFormat chart="49" format="27">
      <pivotArea type="data" outline="0" fieldPosition="0">
        <references count="2">
          <reference field="4294967294" count="1" selected="0">
            <x v="0"/>
          </reference>
          <reference field="0" count="1" selected="0">
            <x v="1"/>
          </reference>
        </references>
      </pivotArea>
    </chartFormat>
    <chartFormat chart="49" format="28">
      <pivotArea type="data" outline="0" fieldPosition="0">
        <references count="2">
          <reference field="4294967294" count="1" selected="0">
            <x v="0"/>
          </reference>
          <reference field="0" count="1" selected="0">
            <x v="2"/>
          </reference>
        </references>
      </pivotArea>
    </chartFormat>
    <chartFormat chart="45" format="1" series="1">
      <pivotArea type="data" outline="0" fieldPosition="0">
        <references count="1">
          <reference field="4294967294" count="1" selected="0">
            <x v="0"/>
          </reference>
        </references>
      </pivotArea>
    </chartFormat>
  </chartFormats>
  <pivotTableStyleInfo name="PivotStyleCustom1" showRowHeaders="1" showColHeaders="1" showRowStripes="0" showColStripes="0" showLastColumn="1"/>
  <filters count="2">
    <filter fld="1" type="valueNotEqual" evalOrder="-1" id="6" iMeasureFld="0">
      <autoFilter ref="A1">
        <filterColumn colId="0">
          <customFilters>
            <customFilter operator="notEqual" val="0"/>
          </customFilters>
        </filterColumn>
      </autoFilter>
    </filter>
    <filter fld="0" type="valueNotEqual" evalOrder="-1" id="7"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467E5-1D60-4EB2-81B8-B4EEA396427E}" name="CatBPTBL" cacheId="5" applyNumberFormats="0" applyBorderFormats="0" applyFontFormats="0" applyPatternFormats="0" applyAlignmentFormats="0" applyWidthHeightFormats="1" dataCaption="Values" updatedVersion="8" minRefreshableVersion="3" showDrill="0" showDataTips="0" useAutoFormatting="1" colGrandTotals="0" itemPrintTitles="1" mergeItem="1" createdVersion="8" indent="0" outline="1" outlineData="1" chartFormat="46">
  <location ref="U2:V13" firstHeaderRow="1" firstDataRow="1" firstDataCol="1"/>
  <pivotFields count="6">
    <pivotField axis="axisRow" showAll="0" measureFilter="1" sortType="ascending">
      <items count="4">
        <item x="1"/>
        <item x="2"/>
        <item x="0"/>
        <item t="default"/>
      </items>
    </pivotField>
    <pivotField axis="axisRow" showAll="0" measureFilter="1">
      <items count="9">
        <item x="3"/>
        <item x="2"/>
        <item x="1"/>
        <item x="5"/>
        <item x="4"/>
        <item x="0"/>
        <item x="6"/>
        <item x="7"/>
        <item t="default"/>
      </items>
    </pivotField>
    <pivotField dataField="1" numFmtId="43" showAll="0"/>
    <pivotField numFmtId="164" showAll="0"/>
    <pivotField showAll="0"/>
    <pivotField numFmtId="43" showAll="0"/>
  </pivotFields>
  <rowFields count="2">
    <field x="0"/>
    <field x="1"/>
  </rowFields>
  <rowItems count="11">
    <i>
      <x/>
    </i>
    <i r="1">
      <x v="4"/>
    </i>
    <i>
      <x v="1"/>
    </i>
    <i r="1">
      <x v="3"/>
    </i>
    <i r="1">
      <x v="6"/>
    </i>
    <i r="1">
      <x v="7"/>
    </i>
    <i>
      <x v="2"/>
    </i>
    <i r="1">
      <x v="1"/>
    </i>
    <i r="1">
      <x v="2"/>
    </i>
    <i r="1">
      <x v="5"/>
    </i>
    <i t="grand">
      <x/>
    </i>
  </rowItems>
  <colItems count="1">
    <i/>
  </colItems>
  <dataFields count="1">
    <dataField name="Sum of Amount" fld="2" showDataAs="percentOfTotal" baseField="0" baseItem="0" numFmtId="10"/>
  </dataFields>
  <chartFormats count="11">
    <chartFormat chart="18" format="13"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0" count="1" selected="0">
            <x v="0"/>
          </reference>
        </references>
      </pivotArea>
    </chartFormat>
    <chartFormat chart="18" format="23">
      <pivotArea type="data" outline="0" fieldPosition="0">
        <references count="2">
          <reference field="4294967294" count="1" selected="0">
            <x v="0"/>
          </reference>
          <reference field="0" count="1" selected="0">
            <x v="1"/>
          </reference>
        </references>
      </pivotArea>
    </chartFormat>
    <chartFormat chart="18" format="24">
      <pivotArea type="data" outline="0" fieldPosition="0">
        <references count="2">
          <reference field="4294967294" count="1" selected="0">
            <x v="0"/>
          </reference>
          <reference field="0" count="1" selected="0">
            <x v="2"/>
          </reference>
        </references>
      </pivotArea>
    </chartFormat>
    <chartFormat chart="18" format="25">
      <pivotArea type="data" outline="0" fieldPosition="0">
        <references count="3">
          <reference field="4294967294" count="1" selected="0">
            <x v="0"/>
          </reference>
          <reference field="0" count="1" selected="0">
            <x v="0"/>
          </reference>
          <reference field="1" count="1" selected="0">
            <x v="4"/>
          </reference>
        </references>
      </pivotArea>
    </chartFormat>
    <chartFormat chart="18" format="26">
      <pivotArea type="data" outline="0" fieldPosition="0">
        <references count="3">
          <reference field="4294967294" count="1" selected="0">
            <x v="0"/>
          </reference>
          <reference field="0" count="1" selected="0">
            <x v="1"/>
          </reference>
          <reference field="1" count="1" selected="0">
            <x v="3"/>
          </reference>
        </references>
      </pivotArea>
    </chartFormat>
    <chartFormat chart="18" format="27">
      <pivotArea type="data" outline="0" fieldPosition="0">
        <references count="3">
          <reference field="4294967294" count="1" selected="0">
            <x v="0"/>
          </reference>
          <reference field="0" count="1" selected="0">
            <x v="1"/>
          </reference>
          <reference field="1" count="1" selected="0">
            <x v="6"/>
          </reference>
        </references>
      </pivotArea>
    </chartFormat>
    <chartFormat chart="18" format="28">
      <pivotArea type="data" outline="0" fieldPosition="0">
        <references count="3">
          <reference field="4294967294" count="1" selected="0">
            <x v="0"/>
          </reference>
          <reference field="0" count="1" selected="0">
            <x v="1"/>
          </reference>
          <reference field="1" count="1" selected="0">
            <x v="7"/>
          </reference>
        </references>
      </pivotArea>
    </chartFormat>
    <chartFormat chart="18" format="29">
      <pivotArea type="data" outline="0" fieldPosition="0">
        <references count="3">
          <reference field="4294967294" count="1" selected="0">
            <x v="0"/>
          </reference>
          <reference field="0" count="1" selected="0">
            <x v="2"/>
          </reference>
          <reference field="1" count="1" selected="0">
            <x v="1"/>
          </reference>
        </references>
      </pivotArea>
    </chartFormat>
    <chartFormat chart="18" format="30">
      <pivotArea type="data" outline="0" fieldPosition="0">
        <references count="3">
          <reference field="4294967294" count="1" selected="0">
            <x v="0"/>
          </reference>
          <reference field="0" count="1" selected="0">
            <x v="2"/>
          </reference>
          <reference field="1" count="1" selected="0">
            <x v="5"/>
          </reference>
        </references>
      </pivotArea>
    </chartFormat>
    <chartFormat chart="18" format="31">
      <pivotArea type="data" outline="0" fieldPosition="0">
        <references count="3">
          <reference field="4294967294" count="1" selected="0">
            <x v="0"/>
          </reference>
          <reference field="0" count="1" selected="0">
            <x v="2"/>
          </reference>
          <reference field="1" count="1" selected="0">
            <x v="2"/>
          </reference>
        </references>
      </pivotArea>
    </chartFormat>
  </chartFormats>
  <pivotTableStyleInfo name="PivotStyleCustom1" showRowHeaders="1" showColHeaders="1" showRowStripes="0" showColStripes="0" showLastColumn="1"/>
  <filters count="2">
    <filter fld="0" type="valueNotEqual" evalOrder="-1" id="5" iMeasureFld="0">
      <autoFilter ref="A1">
        <filterColumn colId="0">
          <customFilters>
            <customFilter operator="notEqual" val="0"/>
          </customFilters>
        </filterColumn>
      </autoFilter>
    </filter>
    <filter fld="1" type="valueNotEqual" evalOrder="-1" id="6"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A" xr10:uid="{D9258A50-98B9-4DD4-BE8F-CEB51F7D560E}" sourceName="Category A">
  <pivotTables>
    <pivotTable tabId="3" name="CatBPTBL"/>
  </pivotTables>
  <data>
    <tabular pivotCacheId="119029914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B" xr10:uid="{712FCB95-449B-4927-B306-C339F6035ACA}" sourceName="Category B">
  <pivotTables>
    <pivotTable tabId="3" name="CatBPTBL"/>
  </pivotTables>
  <data>
    <tabular pivotCacheId="1190299148">
      <items count="8">
        <i x="3" s="1"/>
        <i x="2" s="1"/>
        <i x="1" s="1"/>
        <i x="5" s="1"/>
        <i x="4" s="1"/>
        <i x="0"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A1" xr10:uid="{8EF7EB04-8C2C-4CA9-AAF0-B679670D55F2}" sourceName="Category A">
  <pivotTables>
    <pivotTable tabId="3" name="CatAPTBL"/>
  </pivotTables>
  <data>
    <tabular pivotCacheId="119029914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A" xr10:uid="{BF9AB75B-64BA-472F-B589-840AF1A7479E}" cache="Slicer_Category_A" caption="Category A" rowHeight="241300"/>
  <slicer name="Category B" xr10:uid="{C09C8A37-9222-4A4F-943B-5B9ACA560D51}" cache="Slicer_Category_B" caption="Category B" rowHeight="241300"/>
  <slicer name="Category A 1" xr10:uid="{AF6CAF2B-180E-4A1F-8536-C7F09DECFFBD}" cache="Slicer_Category_A1" caption="Category 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6EAF72-7B57-4B2A-AA41-FF4FEFDD3962}" name="ExpenseTBL" displayName="ExpenseTBL" ref="H11:L19" headerRowDxfId="40">
  <autoFilter ref="H11:L19" xr:uid="{D86EAF72-7B57-4B2A-AA41-FF4FEFDD3962}"/>
  <tableColumns count="5">
    <tableColumn id="1" xr3:uid="{D79EBF3B-993B-4C58-B55B-AD81262F34F6}" name="Category" totalsRowLabel="Total"/>
    <tableColumn id="2" xr3:uid="{44D59DB8-9648-4523-BC1D-E6FA9336F6D5}" name="Subcategory"/>
    <tableColumn id="3" xr3:uid="{8BB8D38B-FEB8-45B4-AC99-90BB3FACB959}" name="Amount" dataDxfId="39" dataCellStyle="Comma"/>
    <tableColumn id="5" xr3:uid="{39865C03-D9B2-46B9-A991-8B1EEB79CBF1}" name="Frequency"/>
    <tableColumn id="6" xr3:uid="{AFD61E60-1638-4554-BEC8-C1A9E5F21BE2}" name="Total" totalsRowFunction="sum" dataDxfId="37" totalsRowDxfId="6" dataCellStyle="Comma">
      <calculatedColumnFormula array="1">IF(OR(ExpenseTBL[[#This Row],[Amount]]="",ExpenseTBL[[#This Row],[Frequency]]=""),"",J12*_xlfn.XLOOKUP(K12&amp;$C$2,PeriodConvTBL[Input]&amp;PeriodConvTBL[Output],PeriodConvTBL[Conversion]))</calculatedColumnFormula>
    </tableColumn>
  </tableColumns>
  <tableStyleInfo name="TableStyleCusto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D09ABC-63CE-4050-9500-FF06793B73C5}" name="IncomeTBL" displayName="IncomeTBL" ref="B11:F12" headerRowDxfId="18" dataDxfId="17">
  <autoFilter ref="B11:F12" xr:uid="{A5D09ABC-63CE-4050-9500-FF06793B73C5}"/>
  <tableColumns count="5">
    <tableColumn id="1" xr3:uid="{B857D467-ED1C-4394-B434-6DDBAEAE5908}" name="Category" totalsRowLabel="Total" dataDxfId="16" totalsRowDxfId="7"/>
    <tableColumn id="2" xr3:uid="{07F652B6-A429-4A49-B5A3-37317622EE77}" name="Subcategory" dataDxfId="15" totalsRowDxfId="8"/>
    <tableColumn id="3" xr3:uid="{66595E41-7D91-4D49-B612-B682644424C1}" name="Amount" dataDxfId="14" totalsRowDxfId="9" dataCellStyle="Comma"/>
    <tableColumn id="4" xr3:uid="{3E6BF5FB-22F4-4BEA-9FFB-211753CB9A91}" name="Frequency" dataDxfId="13" totalsRowDxfId="10"/>
    <tableColumn id="5" xr3:uid="{9FE8CF85-1D54-43ED-8E46-7AA29606E38F}" name="Total" totalsRowFunction="sum" dataDxfId="12" totalsRowDxfId="11" dataCellStyle="Comma">
      <calculatedColumnFormula array="1">IF(OR(ExpenseTBL[[#This Row],[Amount]]="",ExpenseTBL[[#This Row],[Frequency]]=""),"",D12*_xlfn.XLOOKUP(E12&amp;$C$2,PeriodConvTBL[Input]&amp;PeriodConvTBL[Output],PeriodConvTBL[Conversion]))</calculatedColumnFormula>
    </tableColumn>
  </tableColumns>
  <tableStyleInfo name="TableStyleCusto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A9453A-040E-450D-8ECA-8BAA15E1BD2C}" name="PeriodTypeTBL" displayName="PeriodTypeTBL" ref="B2:B9" totalsRowShown="0">
  <autoFilter ref="B2:B9" xr:uid="{76A9453A-040E-450D-8ECA-8BAA15E1BD2C}"/>
  <tableColumns count="1">
    <tableColumn id="1" xr3:uid="{370838C0-FE15-4129-8AC3-1F117511E276}" name="Period Typ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19FCA4-E5C6-414A-A046-736F90B87B1F}" name="PeriodConvTBL" displayName="PeriodConvTBL" ref="D2:F18" totalsRowShown="0">
  <autoFilter ref="D2:F18" xr:uid="{0019FCA4-E5C6-414A-A046-736F90B87B1F}"/>
  <tableColumns count="3">
    <tableColumn id="1" xr3:uid="{52395F8A-3A40-4A6B-A1F0-0741707FC8B7}" name="Input"/>
    <tableColumn id="2" xr3:uid="{4CEA663E-AE03-4782-9A13-1D94D726D890}" name="Output"/>
    <tableColumn id="3" xr3:uid="{AF6ED066-48A0-47F9-918A-38E2BBFBC065}" name="Conversion" dataDxfId="38" dataCellStyle="Percent"/>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7538B8-F7B7-4162-9ABA-BE58422393A6}" name="CategoryTBL" displayName="CategoryTBL" ref="O2:P79" totalsRowShown="0">
  <autoFilter ref="O2:P79" xr:uid="{147538B8-F7B7-4162-9ABA-BE58422393A6}"/>
  <tableColumns count="2">
    <tableColumn id="1" xr3:uid="{7494C965-DF30-44A1-B324-D835E1536DB8}" name="Expense Category"/>
    <tableColumn id="2" xr3:uid="{51A977A9-3CCA-41BE-9538-EAA97AC38479}" name="Expense Subcategory"/>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C61AFF-DD7E-499D-971C-C92FEC1533FB}" name="CategoryTBL7" displayName="CategoryTBL7" ref="L2:M7" totalsRowShown="0">
  <autoFilter ref="L2:M7" xr:uid="{90C61AFF-DD7E-499D-971C-C92FEC1533FB}"/>
  <tableColumns count="2">
    <tableColumn id="1" xr3:uid="{0E3DB961-FA1A-4D89-8CF7-CFB515E17AD2}" name="Revenue Category"/>
    <tableColumn id="2" xr3:uid="{6D6E567C-6B9D-4F1C-8FEF-FA96810B7AE5}" name="Revenue Subcategory"/>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85C633B-61EA-4520-A988-9D165DBA3E93}" name="Table7" displayName="Table7" ref="H2:H20" totalsRowShown="0" headerRowDxfId="3">
  <autoFilter ref="H2:H20" xr:uid="{185C633B-61EA-4520-A988-9D165DBA3E93}"/>
  <tableColumns count="1">
    <tableColumn id="1" xr3:uid="{9B2B6067-0160-4335-B5BB-8200E6353CCD}" name="Category" dataDxfId="4"/>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C13DE5-0605-43F7-93CC-33897B0A306E}" name="Table8" displayName="Table8" ref="J2:J84" totalsRowShown="0" headerRowDxfId="1" dataDxfId="0">
  <autoFilter ref="J2:J84" xr:uid="{D1C13DE5-0605-43F7-93CC-33897B0A306E}"/>
  <tableColumns count="1">
    <tableColumn id="1" xr3:uid="{0A961BE6-AAC3-4A6D-90B0-C7C2513C8727}" name="Subcategory" dataDxfId="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C3963-C261-4AA7-85AA-7045F4178D2E}">
  <dimension ref="B2:B22"/>
  <sheetViews>
    <sheetView showGridLines="0" tabSelected="1" workbookViewId="0">
      <selection activeCell="B9" sqref="B9"/>
    </sheetView>
  </sheetViews>
  <sheetFormatPr defaultRowHeight="14.5" x14ac:dyDescent="0.35"/>
  <sheetData>
    <row r="2" spans="2:2" x14ac:dyDescent="0.35">
      <c r="B2" t="s">
        <v>133</v>
      </c>
    </row>
    <row r="3" spans="2:2" x14ac:dyDescent="0.35">
      <c r="B3" t="s">
        <v>117</v>
      </c>
    </row>
    <row r="4" spans="2:2" x14ac:dyDescent="0.35">
      <c r="B4" t="s">
        <v>130</v>
      </c>
    </row>
    <row r="5" spans="2:2" x14ac:dyDescent="0.35">
      <c r="B5" t="s">
        <v>131</v>
      </c>
    </row>
    <row r="6" spans="2:2" x14ac:dyDescent="0.35">
      <c r="B6" t="s">
        <v>132</v>
      </c>
    </row>
    <row r="7" spans="2:2" x14ac:dyDescent="0.35">
      <c r="B7" t="s">
        <v>134</v>
      </c>
    </row>
    <row r="8" spans="2:2" x14ac:dyDescent="0.35">
      <c r="B8" t="s">
        <v>135</v>
      </c>
    </row>
    <row r="17" customFormat="1" x14ac:dyDescent="0.35"/>
    <row r="18" customFormat="1" x14ac:dyDescent="0.35"/>
    <row r="19" customFormat="1" x14ac:dyDescent="0.35"/>
    <row r="20" customFormat="1" x14ac:dyDescent="0.35"/>
    <row r="21" customFormat="1" x14ac:dyDescent="0.35"/>
    <row r="22"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6A797-BC94-409B-8F98-76B1DCD15E3E}">
  <dimension ref="B2:L41"/>
  <sheetViews>
    <sheetView showGridLines="0" workbookViewId="0">
      <selection activeCell="N4" sqref="N4"/>
    </sheetView>
  </sheetViews>
  <sheetFormatPr defaultRowHeight="14.5" x14ac:dyDescent="0.35"/>
  <cols>
    <col min="1" max="1" width="5.6328125" customWidth="1"/>
    <col min="2" max="2" width="12.6328125" customWidth="1"/>
    <col min="3" max="3" width="13.36328125" bestFit="1" customWidth="1"/>
    <col min="4" max="4" width="12.1796875" bestFit="1" customWidth="1"/>
    <col min="5" max="5" width="14" bestFit="1" customWidth="1"/>
    <col min="6" max="6" width="9.6328125" bestFit="1" customWidth="1"/>
    <col min="7" max="7" width="5.6328125" customWidth="1"/>
    <col min="8" max="8" width="10.7265625" bestFit="1" customWidth="1"/>
    <col min="9" max="9" width="13.36328125" bestFit="1" customWidth="1"/>
    <col min="10" max="10" width="12.1796875" bestFit="1" customWidth="1"/>
    <col min="11" max="11" width="14" bestFit="1" customWidth="1"/>
    <col min="12" max="12" width="9.6328125" bestFit="1" customWidth="1"/>
  </cols>
  <sheetData>
    <row r="2" spans="2:12" x14ac:dyDescent="0.35">
      <c r="B2" s="13" t="s">
        <v>19</v>
      </c>
      <c r="C2" s="22" t="s">
        <v>121</v>
      </c>
    </row>
    <row r="4" spans="2:12" x14ac:dyDescent="0.35">
      <c r="B4" s="17" t="s">
        <v>29</v>
      </c>
      <c r="C4" s="15">
        <f ca="1">SUM(IncomeTBL[Total])</f>
        <v>1356</v>
      </c>
    </row>
    <row r="5" spans="2:12" x14ac:dyDescent="0.35">
      <c r="B5" s="17" t="s">
        <v>11</v>
      </c>
      <c r="C5" s="15">
        <f ca="1">SUM(ExpenseTBL[Total])</f>
        <v>9656</v>
      </c>
    </row>
    <row r="6" spans="2:12" x14ac:dyDescent="0.35">
      <c r="B6" s="18" t="s">
        <v>125</v>
      </c>
      <c r="C6" s="16">
        <f ca="1">+IncomeTBL[[#Totals],[Total]]-ExpenseTBL[[#Totals],[Total]]</f>
        <v>-8300</v>
      </c>
    </row>
    <row r="9" spans="2:12" ht="18.5" x14ac:dyDescent="0.45">
      <c r="B9" s="14" t="s">
        <v>29</v>
      </c>
      <c r="H9" s="14" t="s">
        <v>11</v>
      </c>
    </row>
    <row r="10" spans="2:12" ht="5" customHeight="1" x14ac:dyDescent="0.35"/>
    <row r="11" spans="2:12" x14ac:dyDescent="0.35">
      <c r="B11" t="s">
        <v>21</v>
      </c>
      <c r="C11" t="s">
        <v>22</v>
      </c>
      <c r="D11" s="5" t="s">
        <v>5</v>
      </c>
      <c r="E11" s="5" t="s">
        <v>19</v>
      </c>
      <c r="F11" s="5" t="s">
        <v>7</v>
      </c>
      <c r="H11" t="s">
        <v>21</v>
      </c>
      <c r="I11" t="s">
        <v>22</v>
      </c>
      <c r="J11" s="5" t="s">
        <v>5</v>
      </c>
      <c r="K11" s="5" t="s">
        <v>19</v>
      </c>
      <c r="L11" s="5" t="s">
        <v>7</v>
      </c>
    </row>
    <row r="12" spans="2:12" x14ac:dyDescent="0.35">
      <c r="B12" s="11" t="s">
        <v>29</v>
      </c>
      <c r="C12" s="11" t="s">
        <v>30</v>
      </c>
      <c r="D12" s="12">
        <v>100000</v>
      </c>
      <c r="E12" s="11" t="s">
        <v>121</v>
      </c>
      <c r="F12" s="1" cm="1">
        <f t="array" aca="1" ref="F12" ca="1">IF(OR(ExpenseTBL[[#This Row],[Amount]]="",ExpenseTBL[[#This Row],[Frequency]]=""),"",D12*_xlfn.XLOOKUP(E12&amp;$C$2,PeriodConvTBL[Input]&amp;PeriodConvTBL[Output],PeriodConvTBL[Conversion]))</f>
        <v>1356</v>
      </c>
      <c r="J12" s="1">
        <v>113</v>
      </c>
      <c r="K12" t="s">
        <v>119</v>
      </c>
      <c r="L12" s="1" cm="1">
        <f t="array" aca="1" ref="L12" ca="1">IF(OR(ExpenseTBL[[#This Row],[Amount]]="",ExpenseTBL[[#This Row],[Frequency]]=""),"",J12*_xlfn.XLOOKUP(K12&amp;$C$2,PeriodConvTBL[Input]&amp;PeriodConvTBL[Output],PeriodConvTBL[Conversion]))</f>
        <v>1356</v>
      </c>
    </row>
    <row r="13" spans="2:12" x14ac:dyDescent="0.35">
      <c r="D13" s="1"/>
      <c r="E13" s="2"/>
      <c r="J13" s="1">
        <v>30</v>
      </c>
      <c r="K13" t="s">
        <v>119</v>
      </c>
      <c r="L13" s="1" cm="1">
        <f t="array" aca="1" ref="L13" ca="1">IF(OR(ExpenseTBL[[#This Row],[Amount]]="",ExpenseTBL[[#This Row],[Frequency]]=""),"",J13*_xlfn.XLOOKUP(K13&amp;$C$2,PeriodConvTBL[Input]&amp;PeriodConvTBL[Output],PeriodConvTBL[Conversion]))</f>
        <v>360</v>
      </c>
    </row>
    <row r="14" spans="2:12" x14ac:dyDescent="0.35">
      <c r="G14" s="1"/>
      <c r="J14" s="1">
        <v>400</v>
      </c>
      <c r="K14" t="s">
        <v>121</v>
      </c>
      <c r="L14" s="1" cm="1">
        <f t="array" aca="1" ref="L14" ca="1">IF(OR(ExpenseTBL[[#This Row],[Amount]]="",ExpenseTBL[[#This Row],[Frequency]]=""),"",J14*_xlfn.XLOOKUP(K14&amp;$C$2,PeriodConvTBL[Input]&amp;PeriodConvTBL[Output],PeriodConvTBL[Conversion]))</f>
        <v>400</v>
      </c>
    </row>
    <row r="15" spans="2:12" x14ac:dyDescent="0.35">
      <c r="G15" s="1"/>
      <c r="J15" s="1">
        <v>0</v>
      </c>
      <c r="K15" t="s">
        <v>121</v>
      </c>
      <c r="L15" s="1" cm="1">
        <f t="array" aca="1" ref="L15" ca="1">IF(OR(ExpenseTBL[[#This Row],[Amount]]="",ExpenseTBL[[#This Row],[Frequency]]=""),"",J15*_xlfn.XLOOKUP(K15&amp;$C$2,PeriodConvTBL[Input]&amp;PeriodConvTBL[Output],PeriodConvTBL[Conversion]))</f>
        <v>0</v>
      </c>
    </row>
    <row r="16" spans="2:12" x14ac:dyDescent="0.35">
      <c r="G16" s="1"/>
      <c r="J16" s="1">
        <v>100</v>
      </c>
      <c r="K16" t="s">
        <v>123</v>
      </c>
      <c r="L16" s="1" cm="1">
        <f t="array" aca="1" ref="L16" ca="1">IF(OR(ExpenseTBL[[#This Row],[Amount]]="",ExpenseTBL[[#This Row],[Frequency]]=""),"",J16*_xlfn.XLOOKUP(K16&amp;$C$2,PeriodConvTBL[Input]&amp;PeriodConvTBL[Output],PeriodConvTBL[Conversion]))</f>
        <v>5200</v>
      </c>
    </row>
    <row r="17" spans="4:12" x14ac:dyDescent="0.35">
      <c r="J17" s="1">
        <v>400</v>
      </c>
      <c r="K17" t="s">
        <v>121</v>
      </c>
      <c r="L17" s="1" cm="1">
        <f t="array" aca="1" ref="L17" ca="1">IF(OR(ExpenseTBL[[#This Row],[Amount]]="",ExpenseTBL[[#This Row],[Frequency]]=""),"",J17*_xlfn.XLOOKUP(K17&amp;$C$2,PeriodConvTBL[Input]&amp;PeriodConvTBL[Output],PeriodConvTBL[Conversion]))</f>
        <v>400</v>
      </c>
    </row>
    <row r="18" spans="4:12" x14ac:dyDescent="0.35">
      <c r="J18" s="1">
        <v>140</v>
      </c>
      <c r="K18" t="s">
        <v>121</v>
      </c>
      <c r="L18" s="1" cm="1">
        <f t="array" aca="1" ref="L18" ca="1">IF(OR(ExpenseTBL[[#This Row],[Amount]]="",ExpenseTBL[[#This Row],[Frequency]]=""),"",J18*_xlfn.XLOOKUP(K18&amp;$C$2,PeriodConvTBL[Input]&amp;PeriodConvTBL[Output],PeriodConvTBL[Conversion]))</f>
        <v>140</v>
      </c>
    </row>
    <row r="19" spans="4:12" x14ac:dyDescent="0.35">
      <c r="J19" s="1">
        <v>150</v>
      </c>
      <c r="K19" t="s">
        <v>119</v>
      </c>
      <c r="L19" s="1" cm="1">
        <f t="array" aca="1" ref="L19" ca="1">IF(OR(ExpenseTBL[[#This Row],[Amount]]="",ExpenseTBL[[#This Row],[Frequency]]=""),"",J19*_xlfn.XLOOKUP(K19&amp;$C$2,PeriodConvTBL[Input]&amp;PeriodConvTBL[Output],PeriodConvTBL[Conversion]))</f>
        <v>1800</v>
      </c>
    </row>
    <row r="27" spans="4:12" x14ac:dyDescent="0.35">
      <c r="D27" s="1"/>
      <c r="F27" s="1" t="str" cm="1">
        <f t="array" aca="1" ref="F27" ca="1">IF(OR(ExpenseTBL[[#This Row],[Amount]]="",ExpenseTBL[[#This Row],[Frequency]]=""),"",D27*_xlfn.XLOOKUP(E27&amp;$C$2,PeriodConvTBL[Input]&amp;PeriodConvTBL[Output],PeriodConvTBL[Conversion]))</f>
        <v/>
      </c>
    </row>
    <row r="28" spans="4:12" x14ac:dyDescent="0.35">
      <c r="D28" s="1"/>
      <c r="F28" s="1" t="str" cm="1">
        <f t="array" aca="1" ref="F28" ca="1">IF(OR(ExpenseTBL[[#This Row],[Amount]]="",ExpenseTBL[[#This Row],[Frequency]]=""),"",D28*_xlfn.XLOOKUP(E28&amp;$C$2,PeriodConvTBL[Input]&amp;PeriodConvTBL[Output],PeriodConvTBL[Conversion]))</f>
        <v/>
      </c>
    </row>
    <row r="29" spans="4:12" x14ac:dyDescent="0.35">
      <c r="D29" s="1"/>
      <c r="F29" s="1" t="str" cm="1">
        <f t="array" aca="1" ref="F29" ca="1">IF(OR(ExpenseTBL[[#This Row],[Amount]]="",ExpenseTBL[[#This Row],[Frequency]]=""),"",D29*_xlfn.XLOOKUP(E29&amp;$C$2,PeriodConvTBL[Input]&amp;PeriodConvTBL[Output],PeriodConvTBL[Conversion]))</f>
        <v/>
      </c>
    </row>
    <row r="30" spans="4:12" x14ac:dyDescent="0.35">
      <c r="D30" s="1"/>
      <c r="F30" s="1" t="str" cm="1">
        <f t="array" aca="1" ref="F30" ca="1">IF(OR(ExpenseTBL[[#This Row],[Amount]]="",ExpenseTBL[[#This Row],[Frequency]]=""),"",D30*_xlfn.XLOOKUP(E30&amp;$C$2,PeriodConvTBL[Input]&amp;PeriodConvTBL[Output],PeriodConvTBL[Conversion]))</f>
        <v/>
      </c>
    </row>
    <row r="31" spans="4:12" x14ac:dyDescent="0.35">
      <c r="D31" s="1"/>
      <c r="F31" s="1" t="str" cm="1">
        <f t="array" aca="1" ref="F31" ca="1">IF(OR(ExpenseTBL[[#This Row],[Amount]]="",ExpenseTBL[[#This Row],[Frequency]]=""),"",D31*_xlfn.XLOOKUP(E31&amp;$C$2,PeriodConvTBL[Input]&amp;PeriodConvTBL[Output],PeriodConvTBL[Conversion]))</f>
        <v/>
      </c>
    </row>
    <row r="32" spans="4:12" x14ac:dyDescent="0.35">
      <c r="D32" s="1"/>
      <c r="F32" s="1" t="str" cm="1">
        <f t="array" aca="1" ref="F32" ca="1">IF(OR(ExpenseTBL[[#This Row],[Amount]]="",ExpenseTBL[[#This Row],[Frequency]]=""),"",D32*_xlfn.XLOOKUP(E32&amp;$C$2,PeriodConvTBL[Input]&amp;PeriodConvTBL[Output],PeriodConvTBL[Conversion]))</f>
        <v/>
      </c>
    </row>
    <row r="33" spans="4:7" x14ac:dyDescent="0.35">
      <c r="D33" s="1"/>
      <c r="F33" s="1" t="str" cm="1">
        <f t="array" aca="1" ref="F33" ca="1">IF(OR(ExpenseTBL[[#This Row],[Amount]]="",ExpenseTBL[[#This Row],[Frequency]]=""),"",D33*_xlfn.XLOOKUP(E33&amp;$C$2,PeriodConvTBL[Input]&amp;PeriodConvTBL[Output],PeriodConvTBL[Conversion]))</f>
        <v/>
      </c>
    </row>
    <row r="34" spans="4:7" x14ac:dyDescent="0.35">
      <c r="D34" s="1"/>
      <c r="F34" s="1" t="str" cm="1">
        <f t="array" aca="1" ref="F34" ca="1">IF(OR(ExpenseTBL[[#This Row],[Amount]]="",ExpenseTBL[[#This Row],[Frequency]]=""),"",D34*_xlfn.XLOOKUP(E34&amp;$C$2,PeriodConvTBL[Input]&amp;PeriodConvTBL[Output],PeriodConvTBL[Conversion]))</f>
        <v/>
      </c>
    </row>
    <row r="35" spans="4:7" x14ac:dyDescent="0.35">
      <c r="D35" s="1"/>
      <c r="F35" s="1" t="str" cm="1">
        <f t="array" aca="1" ref="F35" ca="1">IF(OR(ExpenseTBL[[#This Row],[Amount]]="",ExpenseTBL[[#This Row],[Frequency]]=""),"",D35*_xlfn.XLOOKUP(E35&amp;$C$2,PeriodConvTBL[Input]&amp;PeriodConvTBL[Output],PeriodConvTBL[Conversion]))</f>
        <v/>
      </c>
    </row>
    <row r="36" spans="4:7" x14ac:dyDescent="0.35">
      <c r="D36" s="1"/>
      <c r="F36" s="1" t="str" cm="1">
        <f t="array" aca="1" ref="F36" ca="1">IF(OR(ExpenseTBL[[#This Row],[Amount]]="",ExpenseTBL[[#This Row],[Frequency]]=""),"",D36*_xlfn.XLOOKUP(E36&amp;$C$2,PeriodConvTBL[Input]&amp;PeriodConvTBL[Output],PeriodConvTBL[Conversion]))</f>
        <v/>
      </c>
    </row>
    <row r="41" spans="4:7" x14ac:dyDescent="0.35">
      <c r="G41" s="6"/>
    </row>
  </sheetData>
  <conditionalFormatting sqref="C6">
    <cfRule type="cellIs" dxfId="5" priority="1" operator="lessThan">
      <formula>0</formula>
    </cfRule>
  </conditionalFormatting>
  <dataValidations count="6">
    <dataValidation type="list" allowBlank="1" showInputMessage="1" showErrorMessage="1" sqref="K12:K19 F13 E12 E27:E36 C2" xr:uid="{AB3C01EF-9279-44E7-BA24-D2626807D276}">
      <formula1>PeriodType</formula1>
    </dataValidation>
    <dataValidation type="whole" allowBlank="1" showInputMessage="1" showErrorMessage="1" sqref="E13" xr:uid="{90D26C4F-D0E3-49A6-B878-D4D1308ED15A}">
      <formula1>1</formula1>
      <formula2>999</formula2>
    </dataValidation>
    <dataValidation type="decimal" operator="greaterThan" allowBlank="1" showInputMessage="1" showErrorMessage="1" sqref="D13" xr:uid="{7EF86DD3-AA9E-43A2-85E2-B82196BC0168}">
      <formula1>0</formula1>
    </dataValidation>
    <dataValidation type="decimal" operator="greaterThanOrEqual" allowBlank="1" showInputMessage="1" showErrorMessage="1" sqref="D12 D27:D36 J12:J19" xr:uid="{EA503544-D32C-48B6-827B-9F46D110E32D}">
      <formula1>0</formula1>
    </dataValidation>
    <dataValidation type="list" allowBlank="1" showInputMessage="1" showErrorMessage="1" sqref="B12 B27:B36 H12:H19" xr:uid="{BF3CD63C-E0E8-4D76-A1D8-1D4631C81485}">
      <formula1>Category</formula1>
    </dataValidation>
    <dataValidation type="list" allowBlank="1" showInputMessage="1" showErrorMessage="1" sqref="C12 C27:C36 I12:I19" xr:uid="{11B5BD69-AF5A-4BC6-B0F1-884EF0ADE7A7}">
      <formula1>Subcategory</formula1>
    </dataValidation>
  </dataValidation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29521-65AF-49A5-A741-ED6BE3C4A385}">
  <dimension ref="B2:V84"/>
  <sheetViews>
    <sheetView showGridLines="0" workbookViewId="0">
      <selection activeCell="B17" sqref="B17"/>
    </sheetView>
  </sheetViews>
  <sheetFormatPr defaultRowHeight="14.5" x14ac:dyDescent="0.35"/>
  <cols>
    <col min="1" max="1" width="5.6328125" customWidth="1"/>
    <col min="2" max="2" width="12.7265625" customWidth="1"/>
    <col min="3" max="3" width="5.6328125" customWidth="1"/>
    <col min="4" max="5" width="12.1796875" customWidth="1"/>
    <col min="6" max="6" width="12.453125" bestFit="1" customWidth="1"/>
    <col min="7" max="7" width="5.6328125" customWidth="1"/>
    <col min="8" max="8" width="22.1796875" bestFit="1" customWidth="1"/>
    <col min="9" max="9" width="5.6328125" customWidth="1"/>
    <col min="10" max="10" width="26.7265625" bestFit="1" customWidth="1"/>
    <col min="11" max="11" width="5.6328125" customWidth="1"/>
    <col min="12" max="12" width="10.54296875" bestFit="1" customWidth="1"/>
    <col min="13" max="13" width="20" bestFit="1" customWidth="1"/>
    <col min="14" max="14" width="5.6328125" customWidth="1"/>
    <col min="15" max="15" width="22.1796875" bestFit="1" customWidth="1"/>
    <col min="16" max="16" width="26.7265625" bestFit="1" customWidth="1"/>
    <col min="17" max="17" width="5.6328125" customWidth="1"/>
    <col min="18" max="18" width="14.6328125" bestFit="1" customWidth="1"/>
    <col min="19" max="19" width="14" bestFit="1" customWidth="1"/>
    <col min="20" max="20" width="5.6328125" customWidth="1"/>
    <col min="21" max="21" width="27.26953125" bestFit="1" customWidth="1"/>
    <col min="22" max="22" width="14" bestFit="1" customWidth="1"/>
  </cols>
  <sheetData>
    <row r="2" spans="2:22" x14ac:dyDescent="0.35">
      <c r="B2" t="s">
        <v>6</v>
      </c>
      <c r="D2" t="s">
        <v>8</v>
      </c>
      <c r="E2" t="s">
        <v>9</v>
      </c>
      <c r="F2" t="s">
        <v>10</v>
      </c>
      <c r="H2" s="19" t="s">
        <v>21</v>
      </c>
      <c r="J2" s="19" t="s">
        <v>22</v>
      </c>
      <c r="L2" t="s">
        <v>126</v>
      </c>
      <c r="M2" t="s">
        <v>129</v>
      </c>
      <c r="O2" t="s">
        <v>127</v>
      </c>
      <c r="P2" t="s">
        <v>128</v>
      </c>
      <c r="R2" s="9" t="s">
        <v>12</v>
      </c>
      <c r="S2" s="5" t="s">
        <v>13</v>
      </c>
      <c r="U2" s="9" t="s">
        <v>12</v>
      </c>
      <c r="V2" s="5" t="s">
        <v>13</v>
      </c>
    </row>
    <row r="3" spans="2:22" x14ac:dyDescent="0.35">
      <c r="B3" t="s">
        <v>118</v>
      </c>
      <c r="D3" t="s">
        <v>118</v>
      </c>
      <c r="E3" t="s">
        <v>118</v>
      </c>
      <c r="F3" s="1">
        <v>1</v>
      </c>
      <c r="G3" s="1"/>
      <c r="H3" s="20" t="s">
        <v>29</v>
      </c>
      <c r="I3" s="1"/>
      <c r="J3" s="20" t="s">
        <v>30</v>
      </c>
      <c r="K3" s="1"/>
      <c r="L3" t="s">
        <v>29</v>
      </c>
      <c r="M3" t="s">
        <v>30</v>
      </c>
      <c r="O3" t="s">
        <v>23</v>
      </c>
      <c r="P3" t="s">
        <v>54</v>
      </c>
      <c r="R3" s="7" t="s">
        <v>14</v>
      </c>
      <c r="S3" s="8">
        <v>7.5018754688672168E-2</v>
      </c>
      <c r="U3" s="7" t="s">
        <v>14</v>
      </c>
      <c r="V3" s="8">
        <v>7.5018754688672168E-2</v>
      </c>
    </row>
    <row r="4" spans="2:22" x14ac:dyDescent="0.35">
      <c r="B4" t="s">
        <v>123</v>
      </c>
      <c r="D4" t="s">
        <v>118</v>
      </c>
      <c r="E4" t="s">
        <v>123</v>
      </c>
      <c r="F4" s="1">
        <v>7</v>
      </c>
      <c r="G4" s="1"/>
      <c r="H4" s="20" t="s">
        <v>23</v>
      </c>
      <c r="I4" s="1"/>
      <c r="J4" s="20" t="s">
        <v>31</v>
      </c>
      <c r="K4" s="1"/>
      <c r="L4" t="s">
        <v>29</v>
      </c>
      <c r="M4" t="s">
        <v>31</v>
      </c>
      <c r="O4" t="s">
        <v>23</v>
      </c>
      <c r="P4" t="s">
        <v>55</v>
      </c>
      <c r="R4" s="7" t="s">
        <v>1</v>
      </c>
      <c r="S4" s="8">
        <v>0.51762940735183793</v>
      </c>
      <c r="U4" s="10" t="s">
        <v>14</v>
      </c>
      <c r="V4" s="8">
        <v>7.5018754688672168E-2</v>
      </c>
    </row>
    <row r="5" spans="2:22" x14ac:dyDescent="0.35">
      <c r="B5" t="s">
        <v>124</v>
      </c>
      <c r="D5" t="s">
        <v>118</v>
      </c>
      <c r="E5" t="s">
        <v>119</v>
      </c>
      <c r="F5" s="1">
        <f ca="1">365/12</f>
        <v>30.416666666666668</v>
      </c>
      <c r="G5" s="1"/>
      <c r="H5" s="21" t="s">
        <v>24</v>
      </c>
      <c r="I5" s="1"/>
      <c r="J5" s="20" t="s">
        <v>32</v>
      </c>
      <c r="K5" s="1"/>
      <c r="L5" t="s">
        <v>29</v>
      </c>
      <c r="M5" t="s">
        <v>32</v>
      </c>
      <c r="O5" t="s">
        <v>23</v>
      </c>
      <c r="P5" t="s">
        <v>59</v>
      </c>
      <c r="R5" s="7" t="s">
        <v>0</v>
      </c>
      <c r="S5" s="8">
        <v>0.40735183795948987</v>
      </c>
      <c r="U5" s="7" t="s">
        <v>1</v>
      </c>
      <c r="V5" s="8">
        <v>0.51762940735183793</v>
      </c>
    </row>
    <row r="6" spans="2:22" x14ac:dyDescent="0.35">
      <c r="B6" t="s">
        <v>119</v>
      </c>
      <c r="D6" t="s">
        <v>118</v>
      </c>
      <c r="E6" t="s">
        <v>121</v>
      </c>
      <c r="F6" s="1">
        <v>365</v>
      </c>
      <c r="G6" s="1"/>
      <c r="H6" s="20" t="s">
        <v>25</v>
      </c>
      <c r="I6" s="1"/>
      <c r="J6" s="20" t="s">
        <v>33</v>
      </c>
      <c r="K6" s="1"/>
      <c r="L6" t="s">
        <v>29</v>
      </c>
      <c r="M6" t="s">
        <v>33</v>
      </c>
      <c r="O6" t="s">
        <v>23</v>
      </c>
      <c r="P6" t="s">
        <v>56</v>
      </c>
      <c r="R6" s="7" t="s">
        <v>20</v>
      </c>
      <c r="S6" s="8">
        <v>1</v>
      </c>
      <c r="U6" s="10" t="s">
        <v>16</v>
      </c>
      <c r="V6" s="8">
        <v>0.30007501875468867</v>
      </c>
    </row>
    <row r="7" spans="2:22" x14ac:dyDescent="0.35">
      <c r="B7" t="s">
        <v>120</v>
      </c>
      <c r="D7" t="s">
        <v>123</v>
      </c>
      <c r="E7" t="s">
        <v>118</v>
      </c>
      <c r="F7" s="4">
        <f ca="1">1/7</f>
        <v>0.14285714285714285</v>
      </c>
      <c r="G7" s="4"/>
      <c r="H7" s="19" t="s">
        <v>26</v>
      </c>
      <c r="I7" s="4"/>
      <c r="J7" s="21" t="s">
        <v>34</v>
      </c>
      <c r="K7" s="4"/>
      <c r="L7" t="s">
        <v>29</v>
      </c>
      <c r="M7" t="s">
        <v>34</v>
      </c>
      <c r="O7" t="s">
        <v>23</v>
      </c>
      <c r="P7" t="s">
        <v>57</v>
      </c>
      <c r="U7" s="10" t="s">
        <v>17</v>
      </c>
      <c r="V7" s="8">
        <v>0.10502625656414104</v>
      </c>
    </row>
    <row r="8" spans="2:22" x14ac:dyDescent="0.35">
      <c r="B8" t="s">
        <v>122</v>
      </c>
      <c r="D8" t="s">
        <v>123</v>
      </c>
      <c r="E8" t="s">
        <v>123</v>
      </c>
      <c r="F8" s="1">
        <v>1</v>
      </c>
      <c r="G8" s="1"/>
      <c r="H8" s="19" t="s">
        <v>14</v>
      </c>
      <c r="I8" s="1"/>
      <c r="J8" s="20" t="s">
        <v>54</v>
      </c>
      <c r="K8" s="1"/>
      <c r="O8" t="s">
        <v>23</v>
      </c>
      <c r="P8" t="s">
        <v>58</v>
      </c>
      <c r="U8" s="10" t="s">
        <v>18</v>
      </c>
      <c r="V8" s="8">
        <v>0.11252813203300825</v>
      </c>
    </row>
    <row r="9" spans="2:22" x14ac:dyDescent="0.35">
      <c r="B9" t="s">
        <v>121</v>
      </c>
      <c r="D9" t="s">
        <v>123</v>
      </c>
      <c r="E9" t="s">
        <v>119</v>
      </c>
      <c r="F9" s="1">
        <f ca="1">52/12</f>
        <v>4.333333333333333</v>
      </c>
      <c r="G9" s="1"/>
      <c r="H9" s="19" t="s">
        <v>1</v>
      </c>
      <c r="I9" s="1"/>
      <c r="J9" s="20" t="s">
        <v>55</v>
      </c>
      <c r="K9" s="1"/>
      <c r="O9" t="s">
        <v>23</v>
      </c>
      <c r="P9" t="s">
        <v>60</v>
      </c>
      <c r="U9" s="7" t="s">
        <v>0</v>
      </c>
      <c r="V9" s="8">
        <v>0.40735183795948987</v>
      </c>
    </row>
    <row r="10" spans="2:22" x14ac:dyDescent="0.35">
      <c r="D10" t="s">
        <v>123</v>
      </c>
      <c r="E10" t="s">
        <v>121</v>
      </c>
      <c r="F10" s="1">
        <v>52</v>
      </c>
      <c r="G10" s="1"/>
      <c r="H10" s="19" t="s">
        <v>94</v>
      </c>
      <c r="I10" s="1"/>
      <c r="J10" s="20" t="s">
        <v>59</v>
      </c>
      <c r="K10" s="1"/>
      <c r="N10" s="1"/>
      <c r="O10" t="s">
        <v>23</v>
      </c>
      <c r="P10" t="s">
        <v>61</v>
      </c>
      <c r="U10" s="10" t="s">
        <v>3</v>
      </c>
      <c r="V10" s="8">
        <v>0.30007501875468867</v>
      </c>
    </row>
    <row r="11" spans="2:22" x14ac:dyDescent="0.35">
      <c r="D11" t="s">
        <v>119</v>
      </c>
      <c r="E11" t="s">
        <v>118</v>
      </c>
      <c r="F11" s="4">
        <f ca="1">12/365</f>
        <v>3.287671232876712E-2</v>
      </c>
      <c r="G11" s="4"/>
      <c r="H11" s="19" t="s">
        <v>27</v>
      </c>
      <c r="I11" s="4"/>
      <c r="J11" s="21" t="s">
        <v>56</v>
      </c>
      <c r="K11" s="4"/>
      <c r="N11" s="1"/>
      <c r="O11" t="s">
        <v>24</v>
      </c>
      <c r="P11" t="s">
        <v>62</v>
      </c>
      <c r="U11" s="10" t="s">
        <v>2</v>
      </c>
      <c r="V11" s="8">
        <v>2.2505626406601649E-2</v>
      </c>
    </row>
    <row r="12" spans="2:22" x14ac:dyDescent="0.35">
      <c r="D12" t="s">
        <v>119</v>
      </c>
      <c r="E12" t="s">
        <v>123</v>
      </c>
      <c r="F12" s="3">
        <f ca="1">12/52</f>
        <v>0.23076923076923078</v>
      </c>
      <c r="G12" s="3"/>
      <c r="H12" s="19" t="s">
        <v>28</v>
      </c>
      <c r="I12" s="3"/>
      <c r="J12" s="21" t="s">
        <v>57</v>
      </c>
      <c r="K12" s="3"/>
      <c r="N12" s="1"/>
      <c r="O12" t="s">
        <v>24</v>
      </c>
      <c r="P12" t="s">
        <v>63</v>
      </c>
      <c r="U12" s="10" t="s">
        <v>1</v>
      </c>
      <c r="V12" s="8">
        <v>8.4771192798199543E-2</v>
      </c>
    </row>
    <row r="13" spans="2:22" x14ac:dyDescent="0.35">
      <c r="D13" t="s">
        <v>119</v>
      </c>
      <c r="E13" t="s">
        <v>119</v>
      </c>
      <c r="F13" s="1">
        <v>1</v>
      </c>
      <c r="G13" s="1"/>
      <c r="H13" s="19" t="s">
        <v>103</v>
      </c>
      <c r="I13" s="1"/>
      <c r="J13" s="20" t="s">
        <v>58</v>
      </c>
      <c r="K13" s="1"/>
      <c r="N13" s="1"/>
      <c r="O13" t="s">
        <v>24</v>
      </c>
      <c r="P13" t="s">
        <v>64</v>
      </c>
      <c r="U13" s="7" t="s">
        <v>20</v>
      </c>
      <c r="V13" s="8">
        <v>1</v>
      </c>
    </row>
    <row r="14" spans="2:22" x14ac:dyDescent="0.35">
      <c r="D14" t="s">
        <v>119</v>
      </c>
      <c r="E14" t="s">
        <v>121</v>
      </c>
      <c r="F14" s="1">
        <v>12</v>
      </c>
      <c r="G14" s="1"/>
      <c r="H14" s="19" t="s">
        <v>35</v>
      </c>
      <c r="I14" s="1"/>
      <c r="J14" s="20" t="s">
        <v>60</v>
      </c>
      <c r="K14" s="1"/>
      <c r="N14" s="4"/>
      <c r="O14" t="s">
        <v>24</v>
      </c>
      <c r="P14" t="s">
        <v>65</v>
      </c>
    </row>
    <row r="15" spans="2:22" x14ac:dyDescent="0.35">
      <c r="D15" t="s">
        <v>121</v>
      </c>
      <c r="E15" t="s">
        <v>118</v>
      </c>
      <c r="F15" s="4">
        <f ca="1">1/365</f>
        <v>2.7397260273972603E-3</v>
      </c>
      <c r="G15" s="4"/>
      <c r="H15" s="19" t="s">
        <v>36</v>
      </c>
      <c r="I15" s="4"/>
      <c r="J15" s="21" t="s">
        <v>61</v>
      </c>
      <c r="K15" s="4"/>
      <c r="N15" s="1"/>
      <c r="O15" t="s">
        <v>24</v>
      </c>
      <c r="P15" t="s">
        <v>66</v>
      </c>
    </row>
    <row r="16" spans="2:22" x14ac:dyDescent="0.35">
      <c r="D16" t="s">
        <v>121</v>
      </c>
      <c r="E16" t="s">
        <v>123</v>
      </c>
      <c r="F16" s="4">
        <f ca="1">1/52</f>
        <v>1.9230769230769232E-2</v>
      </c>
      <c r="G16" s="4"/>
      <c r="H16" s="19" t="s">
        <v>37</v>
      </c>
      <c r="I16" s="4"/>
      <c r="J16" s="21" t="s">
        <v>62</v>
      </c>
      <c r="K16" s="4"/>
      <c r="N16" s="1"/>
      <c r="O16" t="s">
        <v>24</v>
      </c>
      <c r="P16" t="s">
        <v>67</v>
      </c>
    </row>
    <row r="17" spans="4:16" x14ac:dyDescent="0.35">
      <c r="D17" t="s">
        <v>121</v>
      </c>
      <c r="E17" t="s">
        <v>119</v>
      </c>
      <c r="F17" s="4">
        <f ca="1">1/12</f>
        <v>8.3333333333333329E-2</v>
      </c>
      <c r="G17" s="4"/>
      <c r="H17" s="19" t="s">
        <v>50</v>
      </c>
      <c r="I17" s="4"/>
      <c r="J17" s="21" t="s">
        <v>63</v>
      </c>
      <c r="K17" s="4"/>
      <c r="N17" s="1"/>
      <c r="O17" t="s">
        <v>25</v>
      </c>
      <c r="P17" t="s">
        <v>68</v>
      </c>
    </row>
    <row r="18" spans="4:16" x14ac:dyDescent="0.35">
      <c r="D18" t="s">
        <v>121</v>
      </c>
      <c r="E18" t="s">
        <v>121</v>
      </c>
      <c r="F18" s="1">
        <v>1</v>
      </c>
      <c r="G18" s="1"/>
      <c r="H18" s="19" t="s">
        <v>104</v>
      </c>
      <c r="I18" s="1"/>
      <c r="J18" s="20" t="s">
        <v>64</v>
      </c>
      <c r="K18" s="1"/>
      <c r="N18" s="4"/>
      <c r="O18" t="s">
        <v>25</v>
      </c>
      <c r="P18" t="s">
        <v>69</v>
      </c>
    </row>
    <row r="19" spans="4:16" x14ac:dyDescent="0.35">
      <c r="H19" s="19" t="s">
        <v>110</v>
      </c>
      <c r="J19" s="19" t="s">
        <v>65</v>
      </c>
      <c r="N19" s="3"/>
      <c r="O19" t="s">
        <v>26</v>
      </c>
      <c r="P19" t="s">
        <v>70</v>
      </c>
    </row>
    <row r="20" spans="4:16" x14ac:dyDescent="0.35">
      <c r="H20" s="19" t="s">
        <v>115</v>
      </c>
      <c r="J20" s="19" t="s">
        <v>66</v>
      </c>
      <c r="N20" s="1"/>
      <c r="O20" t="s">
        <v>26</v>
      </c>
      <c r="P20" t="s">
        <v>71</v>
      </c>
    </row>
    <row r="21" spans="4:16" x14ac:dyDescent="0.35">
      <c r="H21" s="19"/>
      <c r="J21" s="19" t="s">
        <v>67</v>
      </c>
      <c r="N21" s="1"/>
      <c r="O21" t="s">
        <v>14</v>
      </c>
      <c r="P21" t="s">
        <v>15</v>
      </c>
    </row>
    <row r="22" spans="4:16" x14ac:dyDescent="0.35">
      <c r="H22" s="19"/>
      <c r="J22" s="19" t="s">
        <v>68</v>
      </c>
      <c r="N22" s="4"/>
      <c r="O22" t="s">
        <v>14</v>
      </c>
      <c r="P22" t="s">
        <v>14</v>
      </c>
    </row>
    <row r="23" spans="4:16" x14ac:dyDescent="0.35">
      <c r="H23" s="19"/>
      <c r="J23" s="19" t="s">
        <v>69</v>
      </c>
      <c r="N23" s="4"/>
      <c r="O23" t="s">
        <v>1</v>
      </c>
      <c r="P23" t="s">
        <v>72</v>
      </c>
    </row>
    <row r="24" spans="4:16" x14ac:dyDescent="0.35">
      <c r="H24" s="19"/>
      <c r="J24" s="19" t="s">
        <v>70</v>
      </c>
      <c r="N24" s="4"/>
      <c r="O24" t="s">
        <v>1</v>
      </c>
      <c r="P24" t="s">
        <v>76</v>
      </c>
    </row>
    <row r="25" spans="4:16" x14ac:dyDescent="0.35">
      <c r="H25" s="19"/>
      <c r="J25" s="19" t="s">
        <v>71</v>
      </c>
      <c r="N25" s="1"/>
      <c r="O25" t="s">
        <v>1</v>
      </c>
      <c r="P25" t="s">
        <v>73</v>
      </c>
    </row>
    <row r="26" spans="4:16" x14ac:dyDescent="0.35">
      <c r="H26" s="19"/>
      <c r="J26" s="19" t="s">
        <v>15</v>
      </c>
      <c r="O26" t="s">
        <v>1</v>
      </c>
      <c r="P26" t="s">
        <v>17</v>
      </c>
    </row>
    <row r="27" spans="4:16" x14ac:dyDescent="0.35">
      <c r="H27" s="19"/>
      <c r="J27" s="19" t="s">
        <v>14</v>
      </c>
      <c r="O27" t="s">
        <v>1</v>
      </c>
      <c r="P27" t="s">
        <v>74</v>
      </c>
    </row>
    <row r="28" spans="4:16" x14ac:dyDescent="0.35">
      <c r="H28" s="19"/>
      <c r="J28" s="19" t="s">
        <v>72</v>
      </c>
      <c r="O28" t="s">
        <v>1</v>
      </c>
      <c r="P28" t="s">
        <v>75</v>
      </c>
    </row>
    <row r="29" spans="4:16" x14ac:dyDescent="0.35">
      <c r="H29" s="19"/>
      <c r="J29" s="19" t="s">
        <v>76</v>
      </c>
      <c r="O29" t="s">
        <v>94</v>
      </c>
      <c r="P29" t="s">
        <v>90</v>
      </c>
    </row>
    <row r="30" spans="4:16" x14ac:dyDescent="0.35">
      <c r="H30" s="19"/>
      <c r="J30" s="19" t="s">
        <v>73</v>
      </c>
      <c r="O30" t="s">
        <v>94</v>
      </c>
      <c r="P30" t="s">
        <v>91</v>
      </c>
    </row>
    <row r="31" spans="4:16" x14ac:dyDescent="0.35">
      <c r="H31" s="19"/>
      <c r="J31" s="19" t="s">
        <v>17</v>
      </c>
      <c r="O31" t="s">
        <v>94</v>
      </c>
      <c r="P31" t="s">
        <v>92</v>
      </c>
    </row>
    <row r="32" spans="4:16" x14ac:dyDescent="0.35">
      <c r="H32" s="19"/>
      <c r="J32" s="19" t="s">
        <v>74</v>
      </c>
      <c r="O32" t="s">
        <v>94</v>
      </c>
      <c r="P32" t="s">
        <v>93</v>
      </c>
    </row>
    <row r="33" spans="8:16" x14ac:dyDescent="0.35">
      <c r="H33" s="19"/>
      <c r="J33" s="19" t="s">
        <v>75</v>
      </c>
      <c r="O33" t="s">
        <v>27</v>
      </c>
      <c r="P33" t="s">
        <v>77</v>
      </c>
    </row>
    <row r="34" spans="8:16" x14ac:dyDescent="0.35">
      <c r="H34" s="19"/>
      <c r="J34" s="19" t="s">
        <v>90</v>
      </c>
      <c r="O34" t="s">
        <v>27</v>
      </c>
      <c r="P34" t="s">
        <v>78</v>
      </c>
    </row>
    <row r="35" spans="8:16" x14ac:dyDescent="0.35">
      <c r="H35" s="19"/>
      <c r="J35" s="19" t="s">
        <v>91</v>
      </c>
      <c r="O35" t="s">
        <v>27</v>
      </c>
      <c r="P35" t="s">
        <v>79</v>
      </c>
    </row>
    <row r="36" spans="8:16" x14ac:dyDescent="0.35">
      <c r="H36" s="19"/>
      <c r="J36" s="19" t="s">
        <v>92</v>
      </c>
      <c r="O36" t="s">
        <v>27</v>
      </c>
      <c r="P36" t="s">
        <v>80</v>
      </c>
    </row>
    <row r="37" spans="8:16" x14ac:dyDescent="0.35">
      <c r="H37" s="19"/>
      <c r="J37" s="19" t="s">
        <v>93</v>
      </c>
      <c r="O37" t="s">
        <v>28</v>
      </c>
      <c r="P37" t="s">
        <v>4</v>
      </c>
    </row>
    <row r="38" spans="8:16" x14ac:dyDescent="0.35">
      <c r="H38" s="19"/>
      <c r="J38" s="19" t="s">
        <v>77</v>
      </c>
      <c r="O38" t="s">
        <v>28</v>
      </c>
      <c r="P38" t="s">
        <v>38</v>
      </c>
    </row>
    <row r="39" spans="8:16" x14ac:dyDescent="0.35">
      <c r="H39" s="19"/>
      <c r="J39" s="19" t="s">
        <v>78</v>
      </c>
      <c r="O39" t="s">
        <v>28</v>
      </c>
      <c r="P39" t="s">
        <v>39</v>
      </c>
    </row>
    <row r="40" spans="8:16" x14ac:dyDescent="0.35">
      <c r="H40" s="19"/>
      <c r="J40" s="19" t="s">
        <v>79</v>
      </c>
      <c r="O40" t="s">
        <v>28</v>
      </c>
      <c r="P40" t="s">
        <v>40</v>
      </c>
    </row>
    <row r="41" spans="8:16" x14ac:dyDescent="0.35">
      <c r="H41" s="19"/>
      <c r="J41" s="19" t="s">
        <v>80</v>
      </c>
      <c r="O41" t="s">
        <v>28</v>
      </c>
      <c r="P41" t="s">
        <v>102</v>
      </c>
    </row>
    <row r="42" spans="8:16" x14ac:dyDescent="0.35">
      <c r="H42" s="19"/>
      <c r="J42" s="19" t="s">
        <v>4</v>
      </c>
      <c r="O42" t="s">
        <v>103</v>
      </c>
      <c r="P42" t="s">
        <v>95</v>
      </c>
    </row>
    <row r="43" spans="8:16" x14ac:dyDescent="0.35">
      <c r="H43" s="19"/>
      <c r="J43" s="19" t="s">
        <v>38</v>
      </c>
      <c r="O43" t="s">
        <v>103</v>
      </c>
      <c r="P43" t="s">
        <v>96</v>
      </c>
    </row>
    <row r="44" spans="8:16" x14ac:dyDescent="0.35">
      <c r="H44" s="19"/>
      <c r="J44" s="19" t="s">
        <v>39</v>
      </c>
      <c r="O44" t="s">
        <v>103</v>
      </c>
      <c r="P44" t="s">
        <v>97</v>
      </c>
    </row>
    <row r="45" spans="8:16" x14ac:dyDescent="0.35">
      <c r="H45" s="19"/>
      <c r="J45" s="19" t="s">
        <v>40</v>
      </c>
      <c r="O45" t="s">
        <v>103</v>
      </c>
      <c r="P45" t="s">
        <v>98</v>
      </c>
    </row>
    <row r="46" spans="8:16" x14ac:dyDescent="0.35">
      <c r="H46" s="19"/>
      <c r="J46" s="19" t="s">
        <v>102</v>
      </c>
      <c r="O46" t="s">
        <v>103</v>
      </c>
      <c r="P46" t="s">
        <v>99</v>
      </c>
    </row>
    <row r="47" spans="8:16" x14ac:dyDescent="0.35">
      <c r="H47" s="19"/>
      <c r="J47" s="19" t="s">
        <v>95</v>
      </c>
      <c r="O47" t="s">
        <v>103</v>
      </c>
      <c r="P47" t="s">
        <v>100</v>
      </c>
    </row>
    <row r="48" spans="8:16" x14ac:dyDescent="0.35">
      <c r="H48" s="19"/>
      <c r="J48" s="19" t="s">
        <v>96</v>
      </c>
      <c r="O48" t="s">
        <v>103</v>
      </c>
      <c r="P48" t="s">
        <v>101</v>
      </c>
    </row>
    <row r="49" spans="8:16" x14ac:dyDescent="0.35">
      <c r="H49" s="19"/>
      <c r="J49" s="19" t="s">
        <v>97</v>
      </c>
      <c r="O49" t="s">
        <v>35</v>
      </c>
      <c r="P49" t="s">
        <v>88</v>
      </c>
    </row>
    <row r="50" spans="8:16" x14ac:dyDescent="0.35">
      <c r="H50" s="19"/>
      <c r="J50" s="19" t="s">
        <v>98</v>
      </c>
      <c r="O50" t="s">
        <v>35</v>
      </c>
      <c r="P50" t="s">
        <v>81</v>
      </c>
    </row>
    <row r="51" spans="8:16" x14ac:dyDescent="0.35">
      <c r="H51" s="19"/>
      <c r="J51" s="19" t="s">
        <v>99</v>
      </c>
      <c r="O51" t="s">
        <v>35</v>
      </c>
      <c r="P51" t="s">
        <v>82</v>
      </c>
    </row>
    <row r="52" spans="8:16" x14ac:dyDescent="0.35">
      <c r="H52" s="19"/>
      <c r="J52" s="19" t="s">
        <v>100</v>
      </c>
      <c r="O52" t="s">
        <v>35</v>
      </c>
      <c r="P52" t="s">
        <v>84</v>
      </c>
    </row>
    <row r="53" spans="8:16" x14ac:dyDescent="0.35">
      <c r="H53" s="19"/>
      <c r="J53" s="19" t="s">
        <v>101</v>
      </c>
      <c r="O53" t="s">
        <v>35</v>
      </c>
      <c r="P53" t="s">
        <v>83</v>
      </c>
    </row>
    <row r="54" spans="8:16" x14ac:dyDescent="0.35">
      <c r="H54" s="19"/>
      <c r="J54" s="19" t="s">
        <v>88</v>
      </c>
      <c r="O54" t="s">
        <v>35</v>
      </c>
      <c r="P54" t="s">
        <v>85</v>
      </c>
    </row>
    <row r="55" spans="8:16" x14ac:dyDescent="0.35">
      <c r="H55" s="19"/>
      <c r="J55" s="19" t="s">
        <v>81</v>
      </c>
      <c r="O55" t="s">
        <v>35</v>
      </c>
      <c r="P55" t="s">
        <v>86</v>
      </c>
    </row>
    <row r="56" spans="8:16" x14ac:dyDescent="0.35">
      <c r="H56" s="19"/>
      <c r="J56" s="19" t="s">
        <v>82</v>
      </c>
      <c r="O56" t="s">
        <v>35</v>
      </c>
      <c r="P56" t="s">
        <v>87</v>
      </c>
    </row>
    <row r="57" spans="8:16" x14ac:dyDescent="0.35">
      <c r="H57" s="19"/>
      <c r="J57" s="19" t="s">
        <v>84</v>
      </c>
      <c r="O57" t="s">
        <v>35</v>
      </c>
      <c r="P57" t="s">
        <v>89</v>
      </c>
    </row>
    <row r="58" spans="8:16" x14ac:dyDescent="0.35">
      <c r="H58" s="19"/>
      <c r="J58" s="19" t="s">
        <v>83</v>
      </c>
      <c r="O58" t="s">
        <v>36</v>
      </c>
      <c r="P58" t="s">
        <v>41</v>
      </c>
    </row>
    <row r="59" spans="8:16" x14ac:dyDescent="0.35">
      <c r="H59" s="19"/>
      <c r="J59" s="19" t="s">
        <v>85</v>
      </c>
      <c r="O59" t="s">
        <v>36</v>
      </c>
      <c r="P59" t="s">
        <v>42</v>
      </c>
    </row>
    <row r="60" spans="8:16" x14ac:dyDescent="0.35">
      <c r="H60" s="19"/>
      <c r="J60" s="19" t="s">
        <v>86</v>
      </c>
      <c r="O60" t="s">
        <v>36</v>
      </c>
      <c r="P60" t="s">
        <v>43</v>
      </c>
    </row>
    <row r="61" spans="8:16" x14ac:dyDescent="0.35">
      <c r="H61" s="19"/>
      <c r="J61" s="19" t="s">
        <v>87</v>
      </c>
      <c r="O61" t="s">
        <v>36</v>
      </c>
      <c r="P61" t="s">
        <v>44</v>
      </c>
    </row>
    <row r="62" spans="8:16" x14ac:dyDescent="0.35">
      <c r="H62" s="19"/>
      <c r="J62" s="19" t="s">
        <v>89</v>
      </c>
      <c r="O62" t="s">
        <v>36</v>
      </c>
      <c r="P62" t="s">
        <v>45</v>
      </c>
    </row>
    <row r="63" spans="8:16" x14ac:dyDescent="0.35">
      <c r="H63" s="19"/>
      <c r="J63" s="19" t="s">
        <v>41</v>
      </c>
      <c r="O63" t="s">
        <v>37</v>
      </c>
      <c r="P63" t="s">
        <v>46</v>
      </c>
    </row>
    <row r="64" spans="8:16" x14ac:dyDescent="0.35">
      <c r="H64" s="19"/>
      <c r="J64" s="19" t="s">
        <v>42</v>
      </c>
      <c r="O64" t="s">
        <v>37</v>
      </c>
      <c r="P64" t="s">
        <v>47</v>
      </c>
    </row>
    <row r="65" spans="8:16" x14ac:dyDescent="0.35">
      <c r="H65" s="19"/>
      <c r="J65" s="19" t="s">
        <v>43</v>
      </c>
      <c r="O65" t="s">
        <v>37</v>
      </c>
      <c r="P65" t="s">
        <v>48</v>
      </c>
    </row>
    <row r="66" spans="8:16" x14ac:dyDescent="0.35">
      <c r="H66" s="19"/>
      <c r="J66" s="19" t="s">
        <v>44</v>
      </c>
      <c r="O66" t="s">
        <v>37</v>
      </c>
      <c r="P66" t="s">
        <v>49</v>
      </c>
    </row>
    <row r="67" spans="8:16" x14ac:dyDescent="0.35">
      <c r="H67" s="19"/>
      <c r="J67" s="19" t="s">
        <v>45</v>
      </c>
      <c r="O67" t="s">
        <v>50</v>
      </c>
      <c r="P67" t="s">
        <v>51</v>
      </c>
    </row>
    <row r="68" spans="8:16" x14ac:dyDescent="0.35">
      <c r="H68" s="19"/>
      <c r="J68" s="19" t="s">
        <v>46</v>
      </c>
      <c r="O68" t="s">
        <v>50</v>
      </c>
      <c r="P68" t="s">
        <v>52</v>
      </c>
    </row>
    <row r="69" spans="8:16" x14ac:dyDescent="0.35">
      <c r="H69" s="19"/>
      <c r="J69" s="19" t="s">
        <v>47</v>
      </c>
      <c r="O69" t="s">
        <v>50</v>
      </c>
      <c r="P69" t="s">
        <v>53</v>
      </c>
    </row>
    <row r="70" spans="8:16" x14ac:dyDescent="0.35">
      <c r="H70" s="19"/>
      <c r="J70" s="19" t="s">
        <v>48</v>
      </c>
      <c r="O70" t="s">
        <v>104</v>
      </c>
      <c r="P70" t="s">
        <v>105</v>
      </c>
    </row>
    <row r="71" spans="8:16" x14ac:dyDescent="0.35">
      <c r="H71" s="19"/>
      <c r="J71" s="19" t="s">
        <v>49</v>
      </c>
      <c r="O71" t="s">
        <v>104</v>
      </c>
      <c r="P71" t="s">
        <v>106</v>
      </c>
    </row>
    <row r="72" spans="8:16" x14ac:dyDescent="0.35">
      <c r="H72" s="19"/>
      <c r="J72" s="19" t="s">
        <v>51</v>
      </c>
      <c r="O72" t="s">
        <v>104</v>
      </c>
      <c r="P72" t="s">
        <v>107</v>
      </c>
    </row>
    <row r="73" spans="8:16" x14ac:dyDescent="0.35">
      <c r="H73" s="19"/>
      <c r="J73" s="19" t="s">
        <v>52</v>
      </c>
      <c r="O73" t="s">
        <v>104</v>
      </c>
      <c r="P73" t="s">
        <v>108</v>
      </c>
    </row>
    <row r="74" spans="8:16" x14ac:dyDescent="0.35">
      <c r="H74" s="19"/>
      <c r="J74" s="19" t="s">
        <v>53</v>
      </c>
      <c r="O74" t="s">
        <v>104</v>
      </c>
      <c r="P74" t="s">
        <v>109</v>
      </c>
    </row>
    <row r="75" spans="8:16" x14ac:dyDescent="0.35">
      <c r="H75" s="19"/>
      <c r="J75" s="19" t="s">
        <v>105</v>
      </c>
      <c r="O75" t="s">
        <v>110</v>
      </c>
      <c r="P75" t="s">
        <v>111</v>
      </c>
    </row>
    <row r="76" spans="8:16" x14ac:dyDescent="0.35">
      <c r="H76" s="19"/>
      <c r="J76" s="19" t="s">
        <v>106</v>
      </c>
      <c r="O76" t="s">
        <v>115</v>
      </c>
      <c r="P76" t="s">
        <v>112</v>
      </c>
    </row>
    <row r="77" spans="8:16" x14ac:dyDescent="0.35">
      <c r="H77" s="19"/>
      <c r="J77" s="19" t="s">
        <v>107</v>
      </c>
      <c r="O77" t="s">
        <v>115</v>
      </c>
      <c r="P77" t="s">
        <v>113</v>
      </c>
    </row>
    <row r="78" spans="8:16" x14ac:dyDescent="0.35">
      <c r="H78" s="19"/>
      <c r="J78" s="19" t="s">
        <v>108</v>
      </c>
      <c r="O78" t="s">
        <v>115</v>
      </c>
      <c r="P78" t="s">
        <v>114</v>
      </c>
    </row>
    <row r="79" spans="8:16" x14ac:dyDescent="0.35">
      <c r="H79" s="19"/>
      <c r="J79" s="19" t="s">
        <v>109</v>
      </c>
      <c r="O79" t="s">
        <v>115</v>
      </c>
      <c r="P79" t="s">
        <v>116</v>
      </c>
    </row>
    <row r="80" spans="8:16" x14ac:dyDescent="0.35">
      <c r="H80" s="19"/>
      <c r="J80" s="19" t="s">
        <v>111</v>
      </c>
    </row>
    <row r="81" spans="10:10" x14ac:dyDescent="0.35">
      <c r="J81" s="19" t="s">
        <v>112</v>
      </c>
    </row>
    <row r="82" spans="10:10" x14ac:dyDescent="0.35">
      <c r="J82" s="19" t="s">
        <v>113</v>
      </c>
    </row>
    <row r="83" spans="10:10" x14ac:dyDescent="0.35">
      <c r="J83" s="19" t="s">
        <v>114</v>
      </c>
    </row>
    <row r="84" spans="10:10" x14ac:dyDescent="0.35">
      <c r="J84" s="19" t="s">
        <v>116</v>
      </c>
    </row>
  </sheetData>
  <pageMargins left="0.7" right="0.7" top="0.75" bottom="0.75" header="0.3" footer="0.3"/>
  <tableParts count="6">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3AB11-D13E-4456-BEC3-7198DCDC8E9C}">
  <dimension ref="A1"/>
  <sheetViews>
    <sheetView workbookViewId="0">
      <selection activeCell="E17" sqref="E17"/>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Dashboard</vt:lpstr>
      <vt:lpstr>Budget</vt:lpstr>
      <vt:lpstr>Configuration</vt:lpstr>
      <vt:lpstr>ReadMe</vt:lpstr>
      <vt:lpstr>Category</vt:lpstr>
      <vt:lpstr>PeriodType</vt:lpstr>
      <vt:lpstr>Subcategory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Holt</dc:creator>
  <cp:lastModifiedBy>Ben Holt</cp:lastModifiedBy>
  <dcterms:created xsi:type="dcterms:W3CDTF">2015-06-05T18:17:20Z</dcterms:created>
  <dcterms:modified xsi:type="dcterms:W3CDTF">2026-03-14T06:57:55Z</dcterms:modified>
</cp:coreProperties>
</file>