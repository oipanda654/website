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579" documentId="11_F25DC773A252ABDACC10480F011841125BDE58EB" xr6:coauthVersionLast="47" xr6:coauthVersionMax="47" xr10:uidLastSave="{48A781EF-09F5-461B-B8B5-CD3888F6DEE3}"/>
  <bookViews>
    <workbookView xWindow="-110" yWindow="-110" windowWidth="19420" windowHeight="11500" activeTab="1" xr2:uid="{00000000-000D-0000-FFFF-FFFF00000000}"/>
  </bookViews>
  <sheets>
    <sheet name="Forecast" sheetId="3" r:id="rId1"/>
    <sheet name="Historic" sheetId="1" r:id="rId2"/>
  </sheets>
  <definedNames>
    <definedName name="CommencementDate">Forecast!$D$10</definedName>
    <definedName name="GrowthRate">Forecast!$D$9</definedName>
  </definedNames>
  <calcPr calcId="191029" calcMode="manual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3" l="1"/>
  <c r="D8" i="1" s="1"/>
  <c r="E8" i="1" s="1"/>
  <c r="F8" i="1" s="1"/>
  <c r="G8" i="1" s="1"/>
  <c r="H8" i="1" s="1"/>
  <c r="I8" i="1" s="1"/>
  <c r="J8" i="1" s="1"/>
  <c r="K8" i="1" s="1"/>
  <c r="L8" i="1" s="1"/>
  <c r="M8" i="1" s="1"/>
  <c r="N8" i="1" s="1"/>
  <c r="O8" i="1" s="1"/>
  <c r="O16" i="1"/>
  <c r="N16" i="1"/>
  <c r="M16" i="1"/>
  <c r="L16" i="1"/>
  <c r="K16" i="1"/>
  <c r="J16" i="1"/>
  <c r="I16" i="1"/>
  <c r="H16" i="1"/>
  <c r="G16" i="1"/>
  <c r="F16" i="1"/>
  <c r="E16" i="1"/>
  <c r="D16" i="1"/>
  <c r="O47" i="1"/>
  <c r="N47" i="1"/>
  <c r="M47" i="1"/>
  <c r="L47" i="1"/>
  <c r="K47" i="1"/>
  <c r="J47" i="1"/>
  <c r="I47" i="1"/>
  <c r="H47" i="1"/>
  <c r="G47" i="1"/>
  <c r="F47" i="1"/>
  <c r="E47" i="1"/>
  <c r="D47" i="1"/>
  <c r="Q45" i="1"/>
  <c r="Q43" i="1"/>
  <c r="Q41" i="1"/>
  <c r="Q39" i="1"/>
  <c r="Q37" i="1"/>
  <c r="O27" i="1"/>
  <c r="N27" i="1"/>
  <c r="M27" i="1"/>
  <c r="L27" i="1"/>
  <c r="K27" i="1"/>
  <c r="J27" i="1"/>
  <c r="I27" i="1"/>
  <c r="H27" i="1"/>
  <c r="G27" i="1"/>
  <c r="F27" i="1"/>
  <c r="E27" i="1"/>
  <c r="O26" i="1"/>
  <c r="N26" i="1"/>
  <c r="M26" i="1"/>
  <c r="L26" i="1"/>
  <c r="K26" i="1"/>
  <c r="J26" i="1"/>
  <c r="I26" i="1"/>
  <c r="H26" i="1"/>
  <c r="G26" i="1"/>
  <c r="F26" i="1"/>
  <c r="E26" i="1"/>
  <c r="O24" i="1"/>
  <c r="N24" i="1"/>
  <c r="M24" i="1"/>
  <c r="L24" i="1"/>
  <c r="K24" i="1"/>
  <c r="J24" i="1"/>
  <c r="I24" i="1"/>
  <c r="H24" i="1"/>
  <c r="G24" i="1"/>
  <c r="F24" i="1"/>
  <c r="E24" i="1"/>
  <c r="O22" i="1"/>
  <c r="N22" i="1"/>
  <c r="M22" i="1"/>
  <c r="L22" i="1"/>
  <c r="K22" i="1"/>
  <c r="J22" i="1"/>
  <c r="I22" i="1"/>
  <c r="H22" i="1"/>
  <c r="G22" i="1"/>
  <c r="F22" i="1"/>
  <c r="E22" i="1"/>
  <c r="D26" i="1"/>
  <c r="D24" i="1"/>
  <c r="D22" i="1"/>
  <c r="D27" i="1"/>
  <c r="Q25" i="1"/>
  <c r="Q23" i="1"/>
  <c r="Q21" i="1"/>
  <c r="Q14" i="1"/>
  <c r="Q12" i="1"/>
  <c r="Q10" i="1"/>
  <c r="Q16" i="1" s="1"/>
  <c r="F40" i="3" l="1"/>
  <c r="G40" i="3" s="1"/>
  <c r="H40" i="3" s="1"/>
  <c r="I40" i="3" s="1"/>
  <c r="J40" i="3" s="1"/>
  <c r="K40" i="3" s="1"/>
  <c r="L40" i="3" s="1"/>
  <c r="M40" i="3" s="1"/>
  <c r="N40" i="3" s="1"/>
  <c r="O40" i="3" s="1"/>
  <c r="P40" i="3" s="1"/>
  <c r="Q40" i="3" s="1"/>
  <c r="B5" i="1"/>
  <c r="F13" i="3"/>
  <c r="F24" i="3"/>
  <c r="G24" i="3" s="1"/>
  <c r="H24" i="3" s="1"/>
  <c r="I24" i="3" s="1"/>
  <c r="J24" i="3" s="1"/>
  <c r="K24" i="3" s="1"/>
  <c r="L24" i="3" s="1"/>
  <c r="M24" i="3" s="1"/>
  <c r="N24" i="3" s="1"/>
  <c r="O24" i="3" s="1"/>
  <c r="P24" i="3" s="1"/>
  <c r="Q24" i="3" s="1"/>
  <c r="B5" i="3"/>
  <c r="Q22" i="1"/>
  <c r="D35" i="1"/>
  <c r="E35" i="1" s="1"/>
  <c r="F35" i="1" s="1"/>
  <c r="G35" i="1" s="1"/>
  <c r="H35" i="1" s="1"/>
  <c r="I35" i="1" s="1"/>
  <c r="J35" i="1" s="1"/>
  <c r="K35" i="1" s="1"/>
  <c r="L35" i="1" s="1"/>
  <c r="M35" i="1" s="1"/>
  <c r="N35" i="1" s="1"/>
  <c r="O35" i="1" s="1"/>
  <c r="Q24" i="1"/>
  <c r="Q26" i="1"/>
  <c r="Q47" i="1"/>
  <c r="D19" i="1"/>
  <c r="E19" i="1" s="1"/>
  <c r="F19" i="1" s="1"/>
  <c r="G19" i="1" s="1"/>
  <c r="H19" i="1" s="1"/>
  <c r="I19" i="1" s="1"/>
  <c r="J19" i="1" s="1"/>
  <c r="K19" i="1" s="1"/>
  <c r="L19" i="1" s="1"/>
  <c r="M19" i="1" s="1"/>
  <c r="N19" i="1" s="1"/>
  <c r="O19" i="1" s="1"/>
  <c r="Q27" i="1"/>
  <c r="F42" i="3" l="1"/>
  <c r="F44" i="3"/>
  <c r="F46" i="3"/>
  <c r="F48" i="3"/>
  <c r="F50" i="3"/>
  <c r="F26" i="3"/>
  <c r="F28" i="3"/>
  <c r="F30" i="3"/>
  <c r="F17" i="3"/>
  <c r="F19" i="3"/>
  <c r="F15" i="3"/>
  <c r="G13" i="3"/>
  <c r="H31" i="1"/>
  <c r="H32" i="1" s="1"/>
  <c r="M31" i="1"/>
  <c r="M51" i="1" s="1"/>
  <c r="M52" i="1" s="1"/>
  <c r="E31" i="1"/>
  <c r="E32" i="1" s="1"/>
  <c r="N31" i="1"/>
  <c r="N32" i="1" s="1"/>
  <c r="N51" i="1"/>
  <c r="N52" i="1"/>
  <c r="L31" i="1"/>
  <c r="L51" i="1" s="1"/>
  <c r="L52" i="1" s="1"/>
  <c r="K31" i="1"/>
  <c r="K51" i="1" s="1"/>
  <c r="K52" i="1" s="1"/>
  <c r="K32" i="1"/>
  <c r="G31" i="1"/>
  <c r="G51" i="1" s="1"/>
  <c r="G52" i="1" s="1"/>
  <c r="K44" i="1"/>
  <c r="K46" i="1"/>
  <c r="K15" i="1"/>
  <c r="K42" i="1"/>
  <c r="K38" i="1"/>
  <c r="K13" i="1"/>
  <c r="K40" i="1"/>
  <c r="K48" i="1"/>
  <c r="K11" i="1"/>
  <c r="K28" i="1"/>
  <c r="E28" i="1"/>
  <c r="E44" i="1"/>
  <c r="E13" i="1"/>
  <c r="E15" i="1"/>
  <c r="E48" i="1"/>
  <c r="E42" i="1"/>
  <c r="E40" i="1"/>
  <c r="E38" i="1"/>
  <c r="E11" i="1"/>
  <c r="E46" i="1"/>
  <c r="J31" i="1"/>
  <c r="J32" i="1" s="1"/>
  <c r="J51" i="1"/>
  <c r="J52" i="1" s="1"/>
  <c r="D31" i="1"/>
  <c r="D32" i="1" s="1"/>
  <c r="M38" i="1"/>
  <c r="M40" i="1"/>
  <c r="M28" i="1"/>
  <c r="M13" i="1"/>
  <c r="M46" i="1"/>
  <c r="M15" i="1"/>
  <c r="M42" i="1"/>
  <c r="M48" i="1"/>
  <c r="M11" i="1"/>
  <c r="M44" i="1"/>
  <c r="I31" i="1"/>
  <c r="I51" i="1" s="1"/>
  <c r="I52" i="1" s="1"/>
  <c r="I32" i="1"/>
  <c r="O31" i="1"/>
  <c r="O32" i="1" s="1"/>
  <c r="N48" i="1"/>
  <c r="N40" i="1"/>
  <c r="N28" i="1"/>
  <c r="N13" i="1"/>
  <c r="N15" i="1"/>
  <c r="N42" i="1"/>
  <c r="N38" i="1"/>
  <c r="N46" i="1"/>
  <c r="N11" i="1"/>
  <c r="N44" i="1"/>
  <c r="L38" i="1"/>
  <c r="L46" i="1"/>
  <c r="L48" i="1"/>
  <c r="L28" i="1"/>
  <c r="L40" i="1"/>
  <c r="L13" i="1"/>
  <c r="L44" i="1"/>
  <c r="L15" i="1"/>
  <c r="L11" i="1"/>
  <c r="L42" i="1"/>
  <c r="J40" i="1"/>
  <c r="J44" i="1"/>
  <c r="J28" i="1"/>
  <c r="J13" i="1"/>
  <c r="J15" i="1"/>
  <c r="J42" i="1"/>
  <c r="J38" i="1"/>
  <c r="J46" i="1"/>
  <c r="J11" i="1"/>
  <c r="J48" i="1"/>
  <c r="H15" i="1"/>
  <c r="H38" i="1"/>
  <c r="H46" i="1"/>
  <c r="H48" i="1"/>
  <c r="H44" i="1"/>
  <c r="H28" i="1"/>
  <c r="H42" i="1"/>
  <c r="H40" i="1"/>
  <c r="H11" i="1"/>
  <c r="H13" i="1"/>
  <c r="G46" i="1"/>
  <c r="G44" i="1"/>
  <c r="G40" i="1"/>
  <c r="G13" i="1"/>
  <c r="G28" i="1"/>
  <c r="G15" i="1"/>
  <c r="G38" i="1"/>
  <c r="G48" i="1"/>
  <c r="G11" i="1"/>
  <c r="G42" i="1"/>
  <c r="F28" i="1"/>
  <c r="F13" i="1"/>
  <c r="F40" i="1"/>
  <c r="F15" i="1"/>
  <c r="F48" i="1"/>
  <c r="F42" i="1"/>
  <c r="F46" i="1"/>
  <c r="F44" i="1"/>
  <c r="F38" i="1"/>
  <c r="D48" i="1"/>
  <c r="D38" i="1"/>
  <c r="D42" i="1"/>
  <c r="D46" i="1"/>
  <c r="D28" i="1"/>
  <c r="D44" i="1"/>
  <c r="D40" i="1"/>
  <c r="D13" i="1"/>
  <c r="D11" i="1"/>
  <c r="D15" i="1"/>
  <c r="I40" i="1"/>
  <c r="I13" i="1"/>
  <c r="I15" i="1"/>
  <c r="I38" i="1"/>
  <c r="I44" i="1"/>
  <c r="I28" i="1"/>
  <c r="I46" i="1"/>
  <c r="I48" i="1"/>
  <c r="I11" i="1"/>
  <c r="I42" i="1"/>
  <c r="F11" i="1"/>
  <c r="F31" i="1"/>
  <c r="F32" i="1" s="1"/>
  <c r="Q13" i="1"/>
  <c r="Q48" i="1"/>
  <c r="Q15" i="1"/>
  <c r="Q38" i="1"/>
  <c r="Q40" i="1"/>
  <c r="Q28" i="1"/>
  <c r="Q42" i="1"/>
  <c r="Q44" i="1"/>
  <c r="Q11" i="1"/>
  <c r="Q46" i="1"/>
  <c r="O42" i="1"/>
  <c r="O38" i="1"/>
  <c r="O44" i="1"/>
  <c r="O40" i="1"/>
  <c r="O28" i="1"/>
  <c r="O48" i="1"/>
  <c r="O13" i="1"/>
  <c r="O46" i="1"/>
  <c r="O11" i="1"/>
  <c r="O15" i="1"/>
  <c r="G42" i="3" l="1"/>
  <c r="G44" i="3"/>
  <c r="G50" i="3"/>
  <c r="G46" i="3"/>
  <c r="G48" i="3"/>
  <c r="F52" i="3"/>
  <c r="F21" i="3"/>
  <c r="F20" i="3" s="1"/>
  <c r="F27" i="3"/>
  <c r="G26" i="3"/>
  <c r="G28" i="3"/>
  <c r="G30" i="3"/>
  <c r="F32" i="3"/>
  <c r="G15" i="3"/>
  <c r="G17" i="3"/>
  <c r="G19" i="3"/>
  <c r="F31" i="3"/>
  <c r="F29" i="3"/>
  <c r="H13" i="3"/>
  <c r="O51" i="1"/>
  <c r="O52" i="1" s="1"/>
  <c r="D51" i="1"/>
  <c r="L32" i="1"/>
  <c r="E51" i="1"/>
  <c r="E52" i="1" s="1"/>
  <c r="M32" i="1"/>
  <c r="Q31" i="1"/>
  <c r="Q32" i="1" s="1"/>
  <c r="D52" i="1"/>
  <c r="G32" i="1"/>
  <c r="F51" i="1"/>
  <c r="F52" i="1" s="1"/>
  <c r="H51" i="1"/>
  <c r="H52" i="1" s="1"/>
  <c r="F53" i="3" l="1"/>
  <c r="F18" i="3"/>
  <c r="F43" i="3"/>
  <c r="G31" i="3"/>
  <c r="F36" i="3"/>
  <c r="F37" i="3" s="1"/>
  <c r="F47" i="3"/>
  <c r="F45" i="3"/>
  <c r="H44" i="3"/>
  <c r="H46" i="3"/>
  <c r="H48" i="3"/>
  <c r="H50" i="3"/>
  <c r="H42" i="3"/>
  <c r="F16" i="3"/>
  <c r="F49" i="3"/>
  <c r="F33" i="3"/>
  <c r="F51" i="3"/>
  <c r="G52" i="3"/>
  <c r="G29" i="3"/>
  <c r="G27" i="3"/>
  <c r="H26" i="3"/>
  <c r="H28" i="3"/>
  <c r="H30" i="3"/>
  <c r="G32" i="3"/>
  <c r="H15" i="3"/>
  <c r="H17" i="3"/>
  <c r="H19" i="3"/>
  <c r="G21" i="3"/>
  <c r="G51" i="3" s="1"/>
  <c r="I13" i="3"/>
  <c r="Q51" i="1"/>
  <c r="Q52" i="1" s="1"/>
  <c r="F56" i="3" l="1"/>
  <c r="F57" i="3" s="1"/>
  <c r="G47" i="3"/>
  <c r="G43" i="3"/>
  <c r="I42" i="3"/>
  <c r="I50" i="3"/>
  <c r="I44" i="3"/>
  <c r="I46" i="3"/>
  <c r="I48" i="3"/>
  <c r="H52" i="3"/>
  <c r="H29" i="3"/>
  <c r="I26" i="3"/>
  <c r="I28" i="3"/>
  <c r="I30" i="3"/>
  <c r="H32" i="3"/>
  <c r="H27" i="3"/>
  <c r="G16" i="3"/>
  <c r="G20" i="3"/>
  <c r="I15" i="3"/>
  <c r="I17" i="3"/>
  <c r="I19" i="3"/>
  <c r="H31" i="3"/>
  <c r="G49" i="3"/>
  <c r="G53" i="3"/>
  <c r="G33" i="3"/>
  <c r="G45" i="3"/>
  <c r="G36" i="3"/>
  <c r="G37" i="3" s="1"/>
  <c r="G18" i="3"/>
  <c r="H21" i="3"/>
  <c r="H16" i="3" s="1"/>
  <c r="J13" i="3"/>
  <c r="I31" i="3" l="1"/>
  <c r="H47" i="3"/>
  <c r="J44" i="3"/>
  <c r="J46" i="3"/>
  <c r="J42" i="3"/>
  <c r="J48" i="3"/>
  <c r="J50" i="3"/>
  <c r="I52" i="3"/>
  <c r="I29" i="3"/>
  <c r="I27" i="3"/>
  <c r="J26" i="3"/>
  <c r="J28" i="3"/>
  <c r="J30" i="3"/>
  <c r="K13" i="3"/>
  <c r="I32" i="3"/>
  <c r="G56" i="3"/>
  <c r="G57" i="3" s="1"/>
  <c r="J15" i="3"/>
  <c r="J17" i="3"/>
  <c r="J19" i="3"/>
  <c r="H20" i="3"/>
  <c r="H49" i="3"/>
  <c r="H45" i="3"/>
  <c r="H51" i="3"/>
  <c r="H53" i="3"/>
  <c r="I21" i="3"/>
  <c r="I16" i="3" s="1"/>
  <c r="H33" i="3"/>
  <c r="H18" i="3"/>
  <c r="H43" i="3"/>
  <c r="H36" i="3"/>
  <c r="H37" i="3" s="1"/>
  <c r="K44" i="3" l="1"/>
  <c r="K46" i="3"/>
  <c r="K48" i="3"/>
  <c r="K50" i="3"/>
  <c r="K42" i="3"/>
  <c r="K52" i="3" s="1"/>
  <c r="L13" i="3"/>
  <c r="K19" i="3"/>
  <c r="J52" i="3"/>
  <c r="K17" i="3"/>
  <c r="K15" i="3"/>
  <c r="K21" i="3" s="1"/>
  <c r="J27" i="3"/>
  <c r="K26" i="3"/>
  <c r="K27" i="3" s="1"/>
  <c r="K28" i="3"/>
  <c r="K30" i="3"/>
  <c r="I43" i="3"/>
  <c r="J32" i="3"/>
  <c r="I18" i="3"/>
  <c r="I36" i="3"/>
  <c r="I56" i="3" s="1"/>
  <c r="I57" i="3" s="1"/>
  <c r="I49" i="3"/>
  <c r="I53" i="3"/>
  <c r="I20" i="3"/>
  <c r="J31" i="3"/>
  <c r="I47" i="3"/>
  <c r="I33" i="3"/>
  <c r="I51" i="3"/>
  <c r="J29" i="3"/>
  <c r="I45" i="3"/>
  <c r="H56" i="3"/>
  <c r="H57" i="3" s="1"/>
  <c r="J21" i="3"/>
  <c r="K32" i="3" l="1"/>
  <c r="K36" i="3" s="1"/>
  <c r="K31" i="3"/>
  <c r="L46" i="3"/>
  <c r="L50" i="3"/>
  <c r="L48" i="3"/>
  <c r="L42" i="3"/>
  <c r="L44" i="3"/>
  <c r="K29" i="3"/>
  <c r="L19" i="3"/>
  <c r="L30" i="3"/>
  <c r="L17" i="3"/>
  <c r="L28" i="3"/>
  <c r="L15" i="3"/>
  <c r="L21" i="3" s="1"/>
  <c r="L26" i="3"/>
  <c r="M13" i="3"/>
  <c r="M19" i="3" s="1"/>
  <c r="K16" i="3"/>
  <c r="K47" i="3"/>
  <c r="K33" i="3"/>
  <c r="K53" i="3"/>
  <c r="K20" i="3"/>
  <c r="I37" i="3"/>
  <c r="K49" i="3"/>
  <c r="K18" i="3"/>
  <c r="L31" i="3"/>
  <c r="K45" i="3"/>
  <c r="K51" i="3"/>
  <c r="K43" i="3"/>
  <c r="J51" i="3"/>
  <c r="J20" i="3"/>
  <c r="J53" i="3"/>
  <c r="J45" i="3"/>
  <c r="J33" i="3"/>
  <c r="J47" i="3"/>
  <c r="J18" i="3"/>
  <c r="J49" i="3"/>
  <c r="J36" i="3"/>
  <c r="J43" i="3"/>
  <c r="J16" i="3"/>
  <c r="L32" i="3" l="1"/>
  <c r="K37" i="3"/>
  <c r="K56" i="3"/>
  <c r="K57" i="3" s="1"/>
  <c r="L27" i="3"/>
  <c r="L29" i="3"/>
  <c r="L16" i="3"/>
  <c r="M30" i="3"/>
  <c r="M31" i="3" s="1"/>
  <c r="L52" i="3"/>
  <c r="M26" i="3"/>
  <c r="M27" i="3" s="1"/>
  <c r="M46" i="3"/>
  <c r="M48" i="3"/>
  <c r="M42" i="3"/>
  <c r="M44" i="3"/>
  <c r="M50" i="3"/>
  <c r="M28" i="3"/>
  <c r="N13" i="3"/>
  <c r="N26" i="3" s="1"/>
  <c r="M17" i="3"/>
  <c r="M15" i="3"/>
  <c r="J56" i="3"/>
  <c r="J57" i="3" s="1"/>
  <c r="J37" i="3"/>
  <c r="L36" i="3"/>
  <c r="L53" i="3"/>
  <c r="L43" i="3"/>
  <c r="L51" i="3"/>
  <c r="L33" i="3"/>
  <c r="L45" i="3"/>
  <c r="L18" i="3"/>
  <c r="L20" i="3"/>
  <c r="L47" i="3"/>
  <c r="L49" i="3"/>
  <c r="M29" i="3" l="1"/>
  <c r="M21" i="3"/>
  <c r="M16" i="3" s="1"/>
  <c r="O13" i="3"/>
  <c r="O28" i="3" s="1"/>
  <c r="N19" i="3"/>
  <c r="N48" i="3"/>
  <c r="N50" i="3"/>
  <c r="N42" i="3"/>
  <c r="N44" i="3"/>
  <c r="N46" i="3"/>
  <c r="N15" i="3"/>
  <c r="N27" i="3" s="1"/>
  <c r="M52" i="3"/>
  <c r="M53" i="3" s="1"/>
  <c r="N17" i="3"/>
  <c r="N21" i="3" s="1"/>
  <c r="N16" i="3" s="1"/>
  <c r="M32" i="3"/>
  <c r="M33" i="3" s="1"/>
  <c r="N30" i="3"/>
  <c r="N31" i="3" s="1"/>
  <c r="N28" i="3"/>
  <c r="O15" i="3"/>
  <c r="O17" i="3"/>
  <c r="O19" i="3"/>
  <c r="P13" i="3"/>
  <c r="M20" i="3"/>
  <c r="M45" i="3"/>
  <c r="M51" i="3"/>
  <c r="M43" i="3"/>
  <c r="M18" i="3"/>
  <c r="M49" i="3"/>
  <c r="M47" i="3"/>
  <c r="L37" i="3"/>
  <c r="L56" i="3"/>
  <c r="L57" i="3" s="1"/>
  <c r="O26" i="3" l="1"/>
  <c r="O30" i="3"/>
  <c r="O32" i="3" s="1"/>
  <c r="N29" i="3"/>
  <c r="M36" i="3"/>
  <c r="P46" i="3"/>
  <c r="P48" i="3"/>
  <c r="P50" i="3"/>
  <c r="P42" i="3"/>
  <c r="P44" i="3"/>
  <c r="N52" i="3"/>
  <c r="N53" i="3" s="1"/>
  <c r="N32" i="3"/>
  <c r="N36" i="3" s="1"/>
  <c r="O48" i="3"/>
  <c r="O50" i="3"/>
  <c r="O42" i="3"/>
  <c r="O44" i="3"/>
  <c r="O46" i="3"/>
  <c r="O29" i="3"/>
  <c r="P30" i="3"/>
  <c r="P26" i="3"/>
  <c r="P28" i="3"/>
  <c r="P15" i="3"/>
  <c r="P19" i="3"/>
  <c r="P31" i="3" s="1"/>
  <c r="P17" i="3"/>
  <c r="O31" i="3"/>
  <c r="M37" i="3"/>
  <c r="M56" i="3"/>
  <c r="M57" i="3" s="1"/>
  <c r="O21" i="3"/>
  <c r="O16" i="3" s="1"/>
  <c r="O27" i="3"/>
  <c r="N51" i="3"/>
  <c r="N49" i="3"/>
  <c r="N43" i="3"/>
  <c r="N18" i="3"/>
  <c r="N47" i="3"/>
  <c r="N45" i="3"/>
  <c r="N20" i="3"/>
  <c r="Q13" i="3"/>
  <c r="N33" i="3" l="1"/>
  <c r="O52" i="3"/>
  <c r="Q50" i="3"/>
  <c r="S50" i="3" s="1"/>
  <c r="Q44" i="3"/>
  <c r="S44" i="3" s="1"/>
  <c r="Q48" i="3"/>
  <c r="S48" i="3" s="1"/>
  <c r="Q42" i="3"/>
  <c r="Q46" i="3"/>
  <c r="S46" i="3" s="1"/>
  <c r="P52" i="3"/>
  <c r="P29" i="3"/>
  <c r="Q30" i="3"/>
  <c r="S30" i="3" s="1"/>
  <c r="Q26" i="3"/>
  <c r="Q27" i="3" s="1"/>
  <c r="Q28" i="3"/>
  <c r="Q29" i="3" s="1"/>
  <c r="S28" i="3"/>
  <c r="P32" i="3"/>
  <c r="Q19" i="3"/>
  <c r="Q17" i="3"/>
  <c r="S17" i="3" s="1"/>
  <c r="Q15" i="3"/>
  <c r="N37" i="3"/>
  <c r="N56" i="3"/>
  <c r="P21" i="3"/>
  <c r="P16" i="3" s="1"/>
  <c r="P27" i="3"/>
  <c r="O20" i="3"/>
  <c r="O51" i="3"/>
  <c r="O49" i="3"/>
  <c r="O53" i="3"/>
  <c r="O18" i="3"/>
  <c r="O36" i="3"/>
  <c r="O43" i="3"/>
  <c r="O45" i="3"/>
  <c r="O47" i="3"/>
  <c r="O33" i="3"/>
  <c r="Q52" i="3" l="1"/>
  <c r="S52" i="3" s="1"/>
  <c r="D52" i="3" s="1"/>
  <c r="S42" i="3"/>
  <c r="S29" i="3"/>
  <c r="Q32" i="3"/>
  <c r="S32" i="3" s="1"/>
  <c r="D32" i="3" s="1"/>
  <c r="S26" i="3"/>
  <c r="Q31" i="3"/>
  <c r="S19" i="3"/>
  <c r="S31" i="3" s="1"/>
  <c r="S15" i="3"/>
  <c r="Q21" i="3"/>
  <c r="Q53" i="3" s="1"/>
  <c r="P51" i="3"/>
  <c r="P20" i="3"/>
  <c r="P18" i="3"/>
  <c r="P47" i="3"/>
  <c r="P36" i="3"/>
  <c r="P43" i="3"/>
  <c r="P45" i="3"/>
  <c r="P49" i="3"/>
  <c r="P33" i="3"/>
  <c r="P53" i="3"/>
  <c r="N57" i="3"/>
  <c r="O56" i="3"/>
  <c r="O57" i="3" s="1"/>
  <c r="O37" i="3"/>
  <c r="Q18" i="3" l="1"/>
  <c r="Q47" i="3"/>
  <c r="Q16" i="3"/>
  <c r="Q45" i="3"/>
  <c r="S21" i="3"/>
  <c r="S27" i="3"/>
  <c r="Q36" i="3"/>
  <c r="Q56" i="3" s="1"/>
  <c r="Q57" i="3" s="1"/>
  <c r="Q49" i="3"/>
  <c r="Q43" i="3"/>
  <c r="Q33" i="3"/>
  <c r="Q20" i="3"/>
  <c r="Q51" i="3"/>
  <c r="P56" i="3"/>
  <c r="P57" i="3" s="1"/>
  <c r="P37" i="3"/>
  <c r="Q37" i="3" l="1"/>
  <c r="S36" i="3"/>
  <c r="D36" i="3" s="1"/>
  <c r="S16" i="3"/>
  <c r="D21" i="3"/>
  <c r="S37" i="3"/>
  <c r="S53" i="3"/>
  <c r="S43" i="3"/>
  <c r="S51" i="3"/>
  <c r="S45" i="3"/>
  <c r="S18" i="3"/>
  <c r="S20" i="3"/>
  <c r="S47" i="3"/>
  <c r="S49" i="3"/>
  <c r="S33" i="3"/>
  <c r="S56" i="3"/>
  <c r="S57" i="3" l="1"/>
  <c r="D5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3" authorId="0" shapeId="0" xr:uid="{24EE9849-363F-4689-BA7B-EC382331C03C}">
      <text>
        <r>
          <rPr>
            <sz val="9"/>
            <color indexed="81"/>
            <rFont val="Tahoma"/>
            <family val="2"/>
          </rPr>
          <t>Annual Growth Rate</t>
        </r>
      </text>
    </comment>
    <comment ref="D24" authorId="0" shapeId="0" xr:uid="{526B3C85-BDDC-4DCF-813D-21FEEC68546D}">
      <text>
        <r>
          <rPr>
            <sz val="9"/>
            <color indexed="81"/>
            <rFont val="Tahoma"/>
            <family val="2"/>
          </rPr>
          <t>Annual Growth Rate</t>
        </r>
      </text>
    </comment>
    <comment ref="D40" authorId="0" shapeId="0" xr:uid="{5EFD96E1-511A-4883-B5B4-FEA91725F11B}">
      <text>
        <r>
          <rPr>
            <sz val="9"/>
            <color indexed="81"/>
            <rFont val="Tahoma"/>
            <family val="2"/>
          </rPr>
          <t>Annual Growth Rate</t>
        </r>
      </text>
    </comment>
  </commentList>
</comments>
</file>

<file path=xl/sharedStrings.xml><?xml version="1.0" encoding="utf-8"?>
<sst xmlns="http://schemas.openxmlformats.org/spreadsheetml/2006/main" count="53" uniqueCount="27">
  <si>
    <t>Commencement Date</t>
  </si>
  <si>
    <t>Annual Growth Rate</t>
  </si>
  <si>
    <t>Revenue</t>
  </si>
  <si>
    <t>Expenses</t>
  </si>
  <si>
    <t>Wages &amp; Salary</t>
  </si>
  <si>
    <t>Cost of Sales</t>
  </si>
  <si>
    <t>Gross Profit</t>
  </si>
  <si>
    <t>Repairs &amp; Maintenance</t>
  </si>
  <si>
    <t>Total Expenses</t>
  </si>
  <si>
    <t>Rates &amp; Utilities</t>
  </si>
  <si>
    <t>Computer &amp; Software</t>
  </si>
  <si>
    <t>Operating Equipment</t>
  </si>
  <si>
    <t>Food</t>
  </si>
  <si>
    <t>Beverage</t>
  </si>
  <si>
    <t>Retail</t>
  </si>
  <si>
    <t>Total Revenue</t>
  </si>
  <si>
    <t>Total Cost of Sales</t>
  </si>
  <si>
    <t>Net Profit</t>
  </si>
  <si>
    <t>Total</t>
  </si>
  <si>
    <t>Actual Historic Financial Results</t>
  </si>
  <si>
    <t>Ann. Gr.</t>
  </si>
  <si>
    <t>Food COS</t>
  </si>
  <si>
    <t>Beverage COS</t>
  </si>
  <si>
    <t>Retail COS</t>
  </si>
  <si>
    <t>Forecast Financial Results</t>
  </si>
  <si>
    <t>Assumptions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</si>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</sst>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2" fillId="0" borderId="0" xfId="0" applyFont="1"/>
    <xf numFmtId="43" fontId="0" fillId="0" borderId="0" xfId="1" applyFont="1"/>
    <xf numFmtId="165" fontId="1" fillId="0" borderId="0" xfId="1" applyNumberFormat="1" applyFont="1"/>
    <xf numFmtId="165" fontId="2" fillId="0" borderId="0" xfId="1" applyNumberFormat="1" applyFont="1"/>
    <xf numFmtId="9" fontId="3" fillId="0" borderId="0" xfId="2" applyFont="1"/>
    <xf numFmtId="165" fontId="0" fillId="2" borderId="0" xfId="1" applyNumberFormat="1" applyFont="1" applyFill="1"/>
    <xf numFmtId="0" fontId="2" fillId="0" borderId="1" xfId="0" applyFont="1" applyBorder="1"/>
    <xf numFmtId="17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1" xfId="1" applyNumberFormat="1" applyFont="1" applyBorder="1"/>
    <xf numFmtId="0" fontId="0" fillId="0" borderId="1" xfId="0" applyBorder="1"/>
    <xf numFmtId="9" fontId="3" fillId="0" borderId="1" xfId="2" applyFont="1" applyBorder="1"/>
    <xf numFmtId="17" fontId="0" fillId="2" borderId="0" xfId="0" applyNumberFormat="1" applyFill="1"/>
    <xf numFmtId="164" fontId="0" fillId="2" borderId="0" xfId="2" applyNumberFormat="1" applyFont="1" applyFill="1"/>
    <xf numFmtId="0" fontId="5" fillId="0" borderId="0" xfId="0" applyFont="1"/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2" fillId="0" borderId="1" xfId="0" applyNumberFormat="1" applyFont="1" applyBorder="1"/>
    <xf numFmtId="165" fontId="0" fillId="0" borderId="0" xfId="1" applyNumberFormat="1" applyFont="1" applyFill="1"/>
    <xf numFmtId="9" fontId="3" fillId="0" borderId="0" xfId="2" applyFont="1" applyFill="1"/>
    <xf numFmtId="9" fontId="3" fillId="0" borderId="1" xfId="2" applyFont="1" applyFill="1" applyBorder="1"/>
    <xf numFmtId="165" fontId="2" fillId="0" borderId="0" xfId="1" applyNumberFormat="1" applyFont="1" applyFill="1"/>
    <xf numFmtId="43" fontId="0" fillId="0" borderId="0" xfId="1" applyFont="1" applyFill="1"/>
    <xf numFmtId="165" fontId="2" fillId="0" borderId="1" xfId="1" applyNumberFormat="1" applyFont="1" applyFill="1" applyBorder="1"/>
    <xf numFmtId="164" fontId="3" fillId="2" borderId="0" xfId="0" applyNumberFormat="1" applyFont="1" applyFill="1"/>
    <xf numFmtId="0" fontId="3" fillId="0" borderId="0" xfId="0" applyFont="1"/>
    <xf numFmtId="43" fontId="0" fillId="0" borderId="0" xfId="0" applyNumberFormat="1"/>
    <xf numFmtId="164" fontId="4" fillId="0" borderId="0" xfId="2" applyNumberFormat="1" applyFont="1"/>
    <xf numFmtId="164" fontId="4" fillId="0" borderId="1" xfId="2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F8302-9955-4A55-8700-4397B38C0EF5}">
  <dimension ref="B3:T57"/>
  <sheetViews>
    <sheetView showGridLines="0" workbookViewId="0">
      <selection activeCell="J6" sqref="J6"/>
    </sheetView>
  </sheetViews>
  <sheetFormatPr defaultRowHeight="14.5" x14ac:dyDescent="0.35"/>
  <cols>
    <col min="1" max="1" width="5.6328125" customWidth="1"/>
    <col min="2" max="2" width="20.36328125" bestFit="1" customWidth="1"/>
    <col min="3" max="3" width="2.6328125" customWidth="1"/>
    <col min="4" max="4" width="10.08984375" customWidth="1"/>
    <col min="5" max="5" width="2.6328125" customWidth="1"/>
    <col min="6" max="17" width="10.08984375" customWidth="1"/>
    <col min="18" max="18" width="2.6328125" customWidth="1"/>
    <col min="19" max="19" width="10.08984375" customWidth="1"/>
  </cols>
  <sheetData>
    <row r="3" spans="2:20" ht="18.5" x14ac:dyDescent="0.45">
      <c r="B3" s="16" t="s">
        <v>24</v>
      </c>
      <c r="D3" s="16"/>
    </row>
    <row r="4" spans="2:20" ht="2" customHeight="1" x14ac:dyDescent="0.45">
      <c r="B4" s="16"/>
      <c r="D4" s="16"/>
    </row>
    <row r="5" spans="2:20" x14ac:dyDescent="0.35">
      <c r="B5" s="2" t="str">
        <f ca="1">"12 Months Ending "&amp;TEXT(EOMONTH(CommencementDate,12),"MMM-YY")</f>
        <v>12 Months Ending Mar-27</v>
      </c>
      <c r="D5" s="2"/>
      <c r="F5" s="17"/>
    </row>
    <row r="6" spans="2:20" x14ac:dyDescent="0.35">
      <c r="F6" s="1"/>
    </row>
    <row r="7" spans="2:20" x14ac:dyDescent="0.35">
      <c r="F7" s="1"/>
    </row>
    <row r="8" spans="2:20" x14ac:dyDescent="0.35">
      <c r="B8" s="8" t="s">
        <v>25</v>
      </c>
      <c r="D8" s="10" t="s">
        <v>26</v>
      </c>
      <c r="F8" s="1"/>
    </row>
    <row r="9" spans="2:20" x14ac:dyDescent="0.35">
      <c r="B9" t="s">
        <v>1</v>
      </c>
      <c r="D9" s="15">
        <v>0.03</v>
      </c>
      <c r="F9" s="1"/>
    </row>
    <row r="10" spans="2:20" x14ac:dyDescent="0.35">
      <c r="B10" t="s">
        <v>0</v>
      </c>
      <c r="D10" s="14">
        <f ca="1">EOMONTH(TODAY(),-1)+1</f>
        <v>46082</v>
      </c>
      <c r="F10" s="1"/>
    </row>
    <row r="11" spans="2:20" x14ac:dyDescent="0.35">
      <c r="F11" s="1"/>
    </row>
    <row r="13" spans="2:20" x14ac:dyDescent="0.35">
      <c r="B13" s="8" t="s">
        <v>2</v>
      </c>
      <c r="D13" s="10" t="s">
        <v>20</v>
      </c>
      <c r="F13" s="9">
        <f ca="1">CommencementDate</f>
        <v>46082</v>
      </c>
      <c r="G13" s="9">
        <f ca="1">EOMONTH(F13,1)</f>
        <v>46142</v>
      </c>
      <c r="H13" s="9">
        <f t="shared" ref="H13:Q13" ca="1" si="0">EOMONTH(G13,1)</f>
        <v>46173</v>
      </c>
      <c r="I13" s="9">
        <f t="shared" ca="1" si="0"/>
        <v>46203</v>
      </c>
      <c r="J13" s="9">
        <f t="shared" ca="1" si="0"/>
        <v>46234</v>
      </c>
      <c r="K13" s="9">
        <f t="shared" ca="1" si="0"/>
        <v>46265</v>
      </c>
      <c r="L13" s="9">
        <f t="shared" ca="1" si="0"/>
        <v>46295</v>
      </c>
      <c r="M13" s="9">
        <f t="shared" ca="1" si="0"/>
        <v>46326</v>
      </c>
      <c r="N13" s="9">
        <f t="shared" ca="1" si="0"/>
        <v>46356</v>
      </c>
      <c r="O13" s="9">
        <f t="shared" ca="1" si="0"/>
        <v>46387</v>
      </c>
      <c r="P13" s="9">
        <f ca="1">EOMONTH(O13,1)</f>
        <v>46418</v>
      </c>
      <c r="Q13" s="9">
        <f t="shared" ca="1" si="0"/>
        <v>46446</v>
      </c>
      <c r="S13" s="10" t="s">
        <v>18</v>
      </c>
    </row>
    <row r="14" spans="2:20" ht="2" customHeight="1" x14ac:dyDescent="0.35">
      <c r="B14" s="2"/>
      <c r="D14" s="2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S14" s="18"/>
    </row>
    <row r="15" spans="2:20" x14ac:dyDescent="0.35">
      <c r="B15" t="s">
        <v>12</v>
      </c>
      <c r="D15" s="26">
        <v>0.03</v>
      </c>
      <c r="F15" s="20">
        <f ca="1">INDEX(Historic!$D:$O,MATCH($B15,Historic!$B:$B,0),MATCH(EOMONTH(F$13,-12),Historic!$D$8:$O$8,0))*(1+IF($D15="",GrowthRate,$D15))</f>
        <v>10300</v>
      </c>
      <c r="G15" s="20">
        <f ca="1">INDEX(Historic!$D:$O,MATCH($B15,Historic!$B:$B,0),MATCH(EOMONTH(G$13,-12),Historic!$D$8:$O$8,0))*(1+IF($D15="",GrowthRate,$D15))</f>
        <v>10300</v>
      </c>
      <c r="H15" s="20">
        <f ca="1">INDEX(Historic!$D:$O,MATCH($B15,Historic!$B:$B,0),MATCH(EOMONTH(H$13,-12),Historic!$D$8:$O$8,0))*(1+IF($D15="",GrowthRate,$D15))</f>
        <v>10300</v>
      </c>
      <c r="I15" s="20">
        <f ca="1">INDEX(Historic!$D:$O,MATCH($B15,Historic!$B:$B,0),MATCH(EOMONTH(I$13,-12),Historic!$D$8:$O$8,0))*(1+IF($D15="",GrowthRate,$D15))</f>
        <v>10300</v>
      </c>
      <c r="J15" s="20">
        <f ca="1">INDEX(Historic!$D:$O,MATCH($B15,Historic!$B:$B,0),MATCH(EOMONTH(J$13,-12),Historic!$D$8:$O$8,0))*(1+IF($D15="",GrowthRate,$D15))</f>
        <v>10300</v>
      </c>
      <c r="K15" s="20">
        <f ca="1">INDEX(Historic!$D:$O,MATCH($B15,Historic!$B:$B,0),MATCH(EOMONTH(K$13,-12),Historic!$D$8:$O$8,0))*(1+IF($D15="",GrowthRate,$D15))</f>
        <v>10300</v>
      </c>
      <c r="L15" s="20">
        <f ca="1">INDEX(Historic!$D:$O,MATCH($B15,Historic!$B:$B,0),MATCH(EOMONTH(L$13,-12),Historic!$D$8:$O$8,0))*(1+IF($D15="",GrowthRate,$D15))</f>
        <v>10300</v>
      </c>
      <c r="M15" s="20">
        <f ca="1">INDEX(Historic!$D:$O,MATCH($B15,Historic!$B:$B,0),MATCH(EOMONTH(M$13,-12),Historic!$D$8:$O$8,0))*(1+IF($D15="",GrowthRate,$D15))</f>
        <v>10300</v>
      </c>
      <c r="N15" s="20">
        <f ca="1">INDEX(Historic!$D:$O,MATCH($B15,Historic!$B:$B,0),MATCH(EOMONTH(N$13,-12),Historic!$D$8:$O$8,0))*(1+IF($D15="",GrowthRate,$D15))</f>
        <v>10300</v>
      </c>
      <c r="O15" s="20">
        <f ca="1">INDEX(Historic!$D:$O,MATCH($B15,Historic!$B:$B,0),MATCH(EOMONTH(O$13,-12),Historic!$D$8:$O$8,0))*(1+IF($D15="",GrowthRate,$D15))</f>
        <v>10300</v>
      </c>
      <c r="P15" s="20">
        <f ca="1">INDEX(Historic!$D:$O,MATCH($B15,Historic!$B:$B,0),MATCH(EOMONTH(P$13,-12),Historic!$D$8:$O$8,0))*(1+IF($D15="",GrowthRate,$D15))</f>
        <v>10300</v>
      </c>
      <c r="Q15" s="20">
        <f ca="1">INDEX(Historic!$D:$O,MATCH($B15,Historic!$B:$B,0),MATCH(EOMONTH(Q$13,-12),Historic!$D$8:$O$8,0))*(1+IF($D15="",GrowthRate,$D15))</f>
        <v>10300</v>
      </c>
      <c r="S15" s="4">
        <f ca="1">SUM(F15:Q15)</f>
        <v>123600</v>
      </c>
      <c r="T15" s="28"/>
    </row>
    <row r="16" spans="2:20" x14ac:dyDescent="0.35">
      <c r="D16" s="27"/>
      <c r="F16" s="21">
        <f t="shared" ref="F16:Q16" ca="1" si="1">F15/F$21</f>
        <v>0.68132958491814122</v>
      </c>
      <c r="G16" s="21">
        <f t="shared" ca="1" si="1"/>
        <v>0.68132958491814122</v>
      </c>
      <c r="H16" s="21">
        <f t="shared" ca="1" si="1"/>
        <v>0.68132958491814122</v>
      </c>
      <c r="I16" s="21">
        <f t="shared" ca="1" si="1"/>
        <v>0.68132958491814122</v>
      </c>
      <c r="J16" s="21">
        <f t="shared" ca="1" si="1"/>
        <v>0.68132958491814122</v>
      </c>
      <c r="K16" s="21">
        <f t="shared" ca="1" si="1"/>
        <v>0.68132958491814122</v>
      </c>
      <c r="L16" s="21">
        <f t="shared" ca="1" si="1"/>
        <v>0.68132958491814122</v>
      </c>
      <c r="M16" s="21">
        <f t="shared" ca="1" si="1"/>
        <v>0.68132958491814122</v>
      </c>
      <c r="N16" s="21">
        <f t="shared" ca="1" si="1"/>
        <v>0.68132958491814122</v>
      </c>
      <c r="O16" s="21">
        <f t="shared" ca="1" si="1"/>
        <v>0.68132958491814122</v>
      </c>
      <c r="P16" s="21">
        <f t="shared" ca="1" si="1"/>
        <v>0.68132958491814122</v>
      </c>
      <c r="Q16" s="21">
        <f t="shared" ca="1" si="1"/>
        <v>0.68132958491814122</v>
      </c>
      <c r="S16" s="6">
        <f ca="1">S15/S$21</f>
        <v>0.68132958491814122</v>
      </c>
    </row>
    <row r="17" spans="2:19" x14ac:dyDescent="0.35">
      <c r="B17" t="s">
        <v>13</v>
      </c>
      <c r="D17" s="26">
        <v>2.5000000000000001E-2</v>
      </c>
      <c r="F17" s="20">
        <f ca="1">INDEX(Historic!$D:$O,MATCH($B17,Historic!$B:$B,0),MATCH(EOMONTH(F$13,-12),Historic!$D$8:$O$8,0))*(1+IF($D17="",GrowthRate,$D17))</f>
        <v>3587.4999999999995</v>
      </c>
      <c r="G17" s="20">
        <f ca="1">INDEX(Historic!$D:$O,MATCH($B17,Historic!$B:$B,0),MATCH(EOMONTH(G$13,-12),Historic!$D$8:$O$8,0))*(1+IF($D17="",GrowthRate,$D17))</f>
        <v>3587.4999999999995</v>
      </c>
      <c r="H17" s="20">
        <f ca="1">INDEX(Historic!$D:$O,MATCH($B17,Historic!$B:$B,0),MATCH(EOMONTH(H$13,-12),Historic!$D$8:$O$8,0))*(1+IF($D17="",GrowthRate,$D17))</f>
        <v>3587.4999999999995</v>
      </c>
      <c r="I17" s="20">
        <f ca="1">INDEX(Historic!$D:$O,MATCH($B17,Historic!$B:$B,0),MATCH(EOMONTH(I$13,-12),Historic!$D$8:$O$8,0))*(1+IF($D17="",GrowthRate,$D17))</f>
        <v>3587.4999999999995</v>
      </c>
      <c r="J17" s="20">
        <f ca="1">INDEX(Historic!$D:$O,MATCH($B17,Historic!$B:$B,0),MATCH(EOMONTH(J$13,-12),Historic!$D$8:$O$8,0))*(1+IF($D17="",GrowthRate,$D17))</f>
        <v>3587.4999999999995</v>
      </c>
      <c r="K17" s="20">
        <f ca="1">INDEX(Historic!$D:$O,MATCH($B17,Historic!$B:$B,0),MATCH(EOMONTH(K$13,-12),Historic!$D$8:$O$8,0))*(1+IF($D17="",GrowthRate,$D17))</f>
        <v>3587.4999999999995</v>
      </c>
      <c r="L17" s="20">
        <f ca="1">INDEX(Historic!$D:$O,MATCH($B17,Historic!$B:$B,0),MATCH(EOMONTH(L$13,-12),Historic!$D$8:$O$8,0))*(1+IF($D17="",GrowthRate,$D17))</f>
        <v>3587.4999999999995</v>
      </c>
      <c r="M17" s="20">
        <f ca="1">INDEX(Historic!$D:$O,MATCH($B17,Historic!$B:$B,0),MATCH(EOMONTH(M$13,-12),Historic!$D$8:$O$8,0))*(1+IF($D17="",GrowthRate,$D17))</f>
        <v>3587.4999999999995</v>
      </c>
      <c r="N17" s="20">
        <f ca="1">INDEX(Historic!$D:$O,MATCH($B17,Historic!$B:$B,0),MATCH(EOMONTH(N$13,-12),Historic!$D$8:$O$8,0))*(1+IF($D17="",GrowthRate,$D17))</f>
        <v>3587.4999999999995</v>
      </c>
      <c r="O17" s="20">
        <f ca="1">INDEX(Historic!$D:$O,MATCH($B17,Historic!$B:$B,0),MATCH(EOMONTH(O$13,-12),Historic!$D$8:$O$8,0))*(1+IF($D17="",GrowthRate,$D17))</f>
        <v>3587.4999999999995</v>
      </c>
      <c r="P17" s="20">
        <f ca="1">INDEX(Historic!$D:$O,MATCH($B17,Historic!$B:$B,0),MATCH(EOMONTH(P$13,-12),Historic!$D$8:$O$8,0))*(1+IF($D17="",GrowthRate,$D17))</f>
        <v>3587.4999999999995</v>
      </c>
      <c r="Q17" s="20">
        <f ca="1">INDEX(Historic!$D:$O,MATCH($B17,Historic!$B:$B,0),MATCH(EOMONTH(Q$13,-12),Historic!$D$8:$O$8,0))*(1+IF($D17="",GrowthRate,$D17))</f>
        <v>3587.4999999999995</v>
      </c>
      <c r="S17" s="4">
        <f t="shared" ref="S17:S19" ca="1" si="2">SUM(F17:Q17)</f>
        <v>43049.999999999993</v>
      </c>
    </row>
    <row r="18" spans="2:19" x14ac:dyDescent="0.35">
      <c r="D18" s="27"/>
      <c r="F18" s="21">
        <f ca="1">F17/F$21</f>
        <v>0.23730775591202247</v>
      </c>
      <c r="G18" s="21">
        <f t="shared" ref="G18:Q18" ca="1" si="3">G17/G$21</f>
        <v>0.23730775591202247</v>
      </c>
      <c r="H18" s="21">
        <f t="shared" ca="1" si="3"/>
        <v>0.23730775591202247</v>
      </c>
      <c r="I18" s="21">
        <f t="shared" ca="1" si="3"/>
        <v>0.23730775591202247</v>
      </c>
      <c r="J18" s="21">
        <f t="shared" ca="1" si="3"/>
        <v>0.23730775591202247</v>
      </c>
      <c r="K18" s="21">
        <f t="shared" ca="1" si="3"/>
        <v>0.23730775591202247</v>
      </c>
      <c r="L18" s="21">
        <f t="shared" ca="1" si="3"/>
        <v>0.23730775591202247</v>
      </c>
      <c r="M18" s="21">
        <f t="shared" ca="1" si="3"/>
        <v>0.23730775591202247</v>
      </c>
      <c r="N18" s="21">
        <f t="shared" ca="1" si="3"/>
        <v>0.23730775591202247</v>
      </c>
      <c r="O18" s="21">
        <f t="shared" ca="1" si="3"/>
        <v>0.23730775591202247</v>
      </c>
      <c r="P18" s="21">
        <f t="shared" ca="1" si="3"/>
        <v>0.23730775591202247</v>
      </c>
      <c r="Q18" s="21">
        <f t="shared" ca="1" si="3"/>
        <v>0.23730775591202247</v>
      </c>
      <c r="S18" s="6">
        <f t="shared" ref="S18" ca="1" si="4">S17/S$21</f>
        <v>0.23730775591202244</v>
      </c>
    </row>
    <row r="19" spans="2:19" x14ac:dyDescent="0.35">
      <c r="B19" t="s">
        <v>14</v>
      </c>
      <c r="D19" s="26">
        <v>2.5000000000000001E-2</v>
      </c>
      <c r="F19" s="20">
        <f ca="1">INDEX(Historic!$D:$O,MATCH($B19,Historic!$B:$B,0),MATCH(EOMONTH(F$13,-12),Historic!$D$8:$O$8,0))*(1+IF($D19="",GrowthRate,$D19))</f>
        <v>1230</v>
      </c>
      <c r="G19" s="20">
        <f ca="1">INDEX(Historic!$D:$O,MATCH($B19,Historic!$B:$B,0),MATCH(EOMONTH(G$13,-12),Historic!$D$8:$O$8,0))*(1+IF($D19="",GrowthRate,$D19))</f>
        <v>1230</v>
      </c>
      <c r="H19" s="20">
        <f ca="1">INDEX(Historic!$D:$O,MATCH($B19,Historic!$B:$B,0),MATCH(EOMONTH(H$13,-12),Historic!$D$8:$O$8,0))*(1+IF($D19="",GrowthRate,$D19))</f>
        <v>1230</v>
      </c>
      <c r="I19" s="20">
        <f ca="1">INDEX(Historic!$D:$O,MATCH($B19,Historic!$B:$B,0),MATCH(EOMONTH(I$13,-12),Historic!$D$8:$O$8,0))*(1+IF($D19="",GrowthRate,$D19))</f>
        <v>1230</v>
      </c>
      <c r="J19" s="20">
        <f ca="1">INDEX(Historic!$D:$O,MATCH($B19,Historic!$B:$B,0),MATCH(EOMONTH(J$13,-12),Historic!$D$8:$O$8,0))*(1+IF($D19="",GrowthRate,$D19))</f>
        <v>1230</v>
      </c>
      <c r="K19" s="20">
        <f ca="1">INDEX(Historic!$D:$O,MATCH($B19,Historic!$B:$B,0),MATCH(EOMONTH(K$13,-12),Historic!$D$8:$O$8,0))*(1+IF($D19="",GrowthRate,$D19))</f>
        <v>1230</v>
      </c>
      <c r="L19" s="20">
        <f ca="1">INDEX(Historic!$D:$O,MATCH($B19,Historic!$B:$B,0),MATCH(EOMONTH(L$13,-12),Historic!$D$8:$O$8,0))*(1+IF($D19="",GrowthRate,$D19))</f>
        <v>1230</v>
      </c>
      <c r="M19" s="20">
        <f ca="1">INDEX(Historic!$D:$O,MATCH($B19,Historic!$B:$B,0),MATCH(EOMONTH(M$13,-12),Historic!$D$8:$O$8,0))*(1+IF($D19="",GrowthRate,$D19))</f>
        <v>1230</v>
      </c>
      <c r="N19" s="20">
        <f ca="1">INDEX(Historic!$D:$O,MATCH($B19,Historic!$B:$B,0),MATCH(EOMONTH(N$13,-12),Historic!$D$8:$O$8,0))*(1+IF($D19="",GrowthRate,$D19))</f>
        <v>1230</v>
      </c>
      <c r="O19" s="20">
        <f ca="1">INDEX(Historic!$D:$O,MATCH($B19,Historic!$B:$B,0),MATCH(EOMONTH(O$13,-12),Historic!$D$8:$O$8,0))*(1+IF($D19="",GrowthRate,$D19))</f>
        <v>1230</v>
      </c>
      <c r="P19" s="20">
        <f ca="1">INDEX(Historic!$D:$O,MATCH($B19,Historic!$B:$B,0),MATCH(EOMONTH(P$13,-12),Historic!$D$8:$O$8,0))*(1+IF($D19="",GrowthRate,$D19))</f>
        <v>1230</v>
      </c>
      <c r="Q19" s="20">
        <f ca="1">INDEX(Historic!$D:$O,MATCH($B19,Historic!$B:$B,0),MATCH(EOMONTH(Q$13,-12),Historic!$D$8:$O$8,0))*(1+IF($D19="",GrowthRate,$D19))</f>
        <v>1230</v>
      </c>
      <c r="S19" s="4">
        <f t="shared" ca="1" si="2"/>
        <v>14760</v>
      </c>
    </row>
    <row r="20" spans="2:19" x14ac:dyDescent="0.35">
      <c r="B20" s="12"/>
      <c r="D20" s="12"/>
      <c r="F20" s="22">
        <f ca="1">F19/F$21</f>
        <v>8.1362659169836288E-2</v>
      </c>
      <c r="G20" s="22">
        <f t="shared" ref="G20:Q20" ca="1" si="5">G19/G$21</f>
        <v>8.1362659169836288E-2</v>
      </c>
      <c r="H20" s="22">
        <f t="shared" ca="1" si="5"/>
        <v>8.1362659169836288E-2</v>
      </c>
      <c r="I20" s="22">
        <f t="shared" ca="1" si="5"/>
        <v>8.1362659169836288E-2</v>
      </c>
      <c r="J20" s="22">
        <f t="shared" ca="1" si="5"/>
        <v>8.1362659169836288E-2</v>
      </c>
      <c r="K20" s="22">
        <f t="shared" ca="1" si="5"/>
        <v>8.1362659169836288E-2</v>
      </c>
      <c r="L20" s="22">
        <f t="shared" ca="1" si="5"/>
        <v>8.1362659169836288E-2</v>
      </c>
      <c r="M20" s="22">
        <f t="shared" ca="1" si="5"/>
        <v>8.1362659169836288E-2</v>
      </c>
      <c r="N20" s="22">
        <f t="shared" ca="1" si="5"/>
        <v>8.1362659169836288E-2</v>
      </c>
      <c r="O20" s="22">
        <f t="shared" ca="1" si="5"/>
        <v>8.1362659169836288E-2</v>
      </c>
      <c r="P20" s="22">
        <f t="shared" ca="1" si="5"/>
        <v>8.1362659169836288E-2</v>
      </c>
      <c r="Q20" s="22">
        <f t="shared" ca="1" si="5"/>
        <v>8.1362659169836288E-2</v>
      </c>
      <c r="S20" s="13">
        <f t="shared" ref="S20" ca="1" si="6">S19/S$21</f>
        <v>8.1362659169836288E-2</v>
      </c>
    </row>
    <row r="21" spans="2:19" x14ac:dyDescent="0.35">
      <c r="B21" s="2" t="s">
        <v>15</v>
      </c>
      <c r="D21" s="29">
        <f ca="1">S21/Historic!Q16-1</f>
        <v>2.8401360544217713E-2</v>
      </c>
      <c r="F21" s="23">
        <f ca="1">SUM(F15,F17,F19)</f>
        <v>15117.5</v>
      </c>
      <c r="G21" s="23">
        <f t="shared" ref="G21:S21" ca="1" si="7">SUM(G15,G17,G19)</f>
        <v>15117.5</v>
      </c>
      <c r="H21" s="23">
        <f t="shared" ca="1" si="7"/>
        <v>15117.5</v>
      </c>
      <c r="I21" s="23">
        <f t="shared" ca="1" si="7"/>
        <v>15117.5</v>
      </c>
      <c r="J21" s="23">
        <f t="shared" ca="1" si="7"/>
        <v>15117.5</v>
      </c>
      <c r="K21" s="23">
        <f t="shared" ca="1" si="7"/>
        <v>15117.5</v>
      </c>
      <c r="L21" s="23">
        <f t="shared" ca="1" si="7"/>
        <v>15117.5</v>
      </c>
      <c r="M21" s="23">
        <f t="shared" ca="1" si="7"/>
        <v>15117.5</v>
      </c>
      <c r="N21" s="23">
        <f t="shared" ca="1" si="7"/>
        <v>15117.5</v>
      </c>
      <c r="O21" s="23">
        <f t="shared" ca="1" si="7"/>
        <v>15117.5</v>
      </c>
      <c r="P21" s="23">
        <f t="shared" ca="1" si="7"/>
        <v>15117.5</v>
      </c>
      <c r="Q21" s="23">
        <f t="shared" ca="1" si="7"/>
        <v>15117.5</v>
      </c>
      <c r="S21" s="5">
        <f t="shared" ca="1" si="7"/>
        <v>181410</v>
      </c>
    </row>
    <row r="22" spans="2:19" x14ac:dyDescent="0.35">
      <c r="B22" s="2"/>
      <c r="D22" s="2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S22" s="5"/>
    </row>
    <row r="23" spans="2:19" x14ac:dyDescent="0.35"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S23" s="3"/>
    </row>
    <row r="24" spans="2:19" x14ac:dyDescent="0.35">
      <c r="B24" s="8" t="s">
        <v>5</v>
      </c>
      <c r="D24" s="10" t="s">
        <v>20</v>
      </c>
      <c r="F24" s="9">
        <f ca="1">CommencementDate</f>
        <v>46082</v>
      </c>
      <c r="G24" s="9">
        <f ca="1">EOMONTH(F24,1)</f>
        <v>46142</v>
      </c>
      <c r="H24" s="9">
        <f t="shared" ref="H24:Q24" ca="1" si="8">EOMONTH(G24,1)</f>
        <v>46173</v>
      </c>
      <c r="I24" s="9">
        <f t="shared" ca="1" si="8"/>
        <v>46203</v>
      </c>
      <c r="J24" s="9">
        <f t="shared" ca="1" si="8"/>
        <v>46234</v>
      </c>
      <c r="K24" s="9">
        <f t="shared" ca="1" si="8"/>
        <v>46265</v>
      </c>
      <c r="L24" s="9">
        <f t="shared" ca="1" si="8"/>
        <v>46295</v>
      </c>
      <c r="M24" s="9">
        <f t="shared" ca="1" si="8"/>
        <v>46326</v>
      </c>
      <c r="N24" s="9">
        <f t="shared" ca="1" si="8"/>
        <v>46356</v>
      </c>
      <c r="O24" s="9">
        <f t="shared" ca="1" si="8"/>
        <v>46387</v>
      </c>
      <c r="P24" s="9">
        <f ca="1">EOMONTH(O24,1)</f>
        <v>46418</v>
      </c>
      <c r="Q24" s="9">
        <f t="shared" ca="1" si="8"/>
        <v>46446</v>
      </c>
      <c r="S24" s="10" t="s">
        <v>18</v>
      </c>
    </row>
    <row r="25" spans="2:19" ht="2" customHeight="1" x14ac:dyDescent="0.35">
      <c r="B25" s="2"/>
      <c r="D25" s="2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S25" s="18"/>
    </row>
    <row r="26" spans="2:19" x14ac:dyDescent="0.35">
      <c r="B26" t="s">
        <v>21</v>
      </c>
      <c r="D26" s="26">
        <v>0.05</v>
      </c>
      <c r="F26" s="20">
        <f ca="1">INDEX(Historic!$D:$O,MATCH($B26,Historic!$B:$B,0),MATCH(EOMONTH(F$13,-12),Historic!$D$8:$O$8,0))*(1+IF($D26="",GrowthRate,$D26))</f>
        <v>2625</v>
      </c>
      <c r="G26" s="20">
        <f ca="1">INDEX(Historic!$D:$O,MATCH($B26,Historic!$B:$B,0),MATCH(EOMONTH(G$13,-12),Historic!$D$8:$O$8,0))*(1+IF($D26="",GrowthRate,$D26))</f>
        <v>2625</v>
      </c>
      <c r="H26" s="20">
        <f ca="1">INDEX(Historic!$D:$O,MATCH($B26,Historic!$B:$B,0),MATCH(EOMONTH(H$13,-12),Historic!$D$8:$O$8,0))*(1+IF($D26="",GrowthRate,$D26))</f>
        <v>2625</v>
      </c>
      <c r="I26" s="20">
        <f ca="1">INDEX(Historic!$D:$O,MATCH($B26,Historic!$B:$B,0),MATCH(EOMONTH(I$13,-12),Historic!$D$8:$O$8,0))*(1+IF($D26="",GrowthRate,$D26))</f>
        <v>2625</v>
      </c>
      <c r="J26" s="20">
        <f ca="1">INDEX(Historic!$D:$O,MATCH($B26,Historic!$B:$B,0),MATCH(EOMONTH(J$13,-12),Historic!$D$8:$O$8,0))*(1+IF($D26="",GrowthRate,$D26))</f>
        <v>2625</v>
      </c>
      <c r="K26" s="20">
        <f ca="1">INDEX(Historic!$D:$O,MATCH($B26,Historic!$B:$B,0),MATCH(EOMONTH(K$13,-12),Historic!$D$8:$O$8,0))*(1+IF($D26="",GrowthRate,$D26))</f>
        <v>2625</v>
      </c>
      <c r="L26" s="20">
        <f ca="1">INDEX(Historic!$D:$O,MATCH($B26,Historic!$B:$B,0),MATCH(EOMONTH(L$13,-12),Historic!$D$8:$O$8,0))*(1+IF($D26="",GrowthRate,$D26))</f>
        <v>2625</v>
      </c>
      <c r="M26" s="20">
        <f ca="1">INDEX(Historic!$D:$O,MATCH($B26,Historic!$B:$B,0),MATCH(EOMONTH(M$13,-12),Historic!$D$8:$O$8,0))*(1+IF($D26="",GrowthRate,$D26))</f>
        <v>2625</v>
      </c>
      <c r="N26" s="20">
        <f ca="1">INDEX(Historic!$D:$O,MATCH($B26,Historic!$B:$B,0),MATCH(EOMONTH(N$13,-12),Historic!$D$8:$O$8,0))*(1+IF($D26="",GrowthRate,$D26))</f>
        <v>2625</v>
      </c>
      <c r="O26" s="20">
        <f ca="1">INDEX(Historic!$D:$O,MATCH($B26,Historic!$B:$B,0),MATCH(EOMONTH(O$13,-12),Historic!$D$8:$O$8,0))*(1+IF($D26="",GrowthRate,$D26))</f>
        <v>2625</v>
      </c>
      <c r="P26" s="20">
        <f ca="1">INDEX(Historic!$D:$O,MATCH($B26,Historic!$B:$B,0),MATCH(EOMONTH(P$13,-12),Historic!$D$8:$O$8,0))*(1+IF($D26="",GrowthRate,$D26))</f>
        <v>2625</v>
      </c>
      <c r="Q26" s="20">
        <f ca="1">INDEX(Historic!$D:$O,MATCH($B26,Historic!$B:$B,0),MATCH(EOMONTH(Q$13,-12),Historic!$D$8:$O$8,0))*(1+IF($D26="",GrowthRate,$D26))</f>
        <v>2625</v>
      </c>
      <c r="S26" s="4">
        <f t="shared" ref="S26" ca="1" si="9">SUM(F26:Q26)</f>
        <v>31500</v>
      </c>
    </row>
    <row r="27" spans="2:19" x14ac:dyDescent="0.35">
      <c r="F27" s="21">
        <f ca="1">F26/F15</f>
        <v>0.25485436893203883</v>
      </c>
      <c r="G27" s="21">
        <f t="shared" ref="G27:S27" ca="1" si="10">G26/G15</f>
        <v>0.25485436893203883</v>
      </c>
      <c r="H27" s="21">
        <f t="shared" ca="1" si="10"/>
        <v>0.25485436893203883</v>
      </c>
      <c r="I27" s="21">
        <f t="shared" ca="1" si="10"/>
        <v>0.25485436893203883</v>
      </c>
      <c r="J27" s="21">
        <f t="shared" ca="1" si="10"/>
        <v>0.25485436893203883</v>
      </c>
      <c r="K27" s="21">
        <f t="shared" ca="1" si="10"/>
        <v>0.25485436893203883</v>
      </c>
      <c r="L27" s="21">
        <f t="shared" ca="1" si="10"/>
        <v>0.25485436893203883</v>
      </c>
      <c r="M27" s="21">
        <f t="shared" ca="1" si="10"/>
        <v>0.25485436893203883</v>
      </c>
      <c r="N27" s="21">
        <f t="shared" ca="1" si="10"/>
        <v>0.25485436893203883</v>
      </c>
      <c r="O27" s="21">
        <f t="shared" ca="1" si="10"/>
        <v>0.25485436893203883</v>
      </c>
      <c r="P27" s="21">
        <f t="shared" ca="1" si="10"/>
        <v>0.25485436893203883</v>
      </c>
      <c r="Q27" s="21">
        <f t="shared" ca="1" si="10"/>
        <v>0.25485436893203883</v>
      </c>
      <c r="S27" s="6">
        <f t="shared" ca="1" si="10"/>
        <v>0.25485436893203883</v>
      </c>
    </row>
    <row r="28" spans="2:19" x14ac:dyDescent="0.35">
      <c r="B28" t="s">
        <v>22</v>
      </c>
      <c r="D28" s="26"/>
      <c r="F28" s="20">
        <f ca="1">INDEX(Historic!$D:$O,MATCH($B28,Historic!$B:$B,0),MATCH(EOMONTH(F$13,-12),Historic!$D$8:$O$8,0))*(1+IF($D28="",GrowthRate,$D28))</f>
        <v>793.1</v>
      </c>
      <c r="G28" s="20">
        <f ca="1">INDEX(Historic!$D:$O,MATCH($B28,Historic!$B:$B,0),MATCH(EOMONTH(G$13,-12),Historic!$D$8:$O$8,0))*(1+IF($D28="",GrowthRate,$D28))</f>
        <v>793.1</v>
      </c>
      <c r="H28" s="20">
        <f ca="1">INDEX(Historic!$D:$O,MATCH($B28,Historic!$B:$B,0),MATCH(EOMONTH(H$13,-12),Historic!$D$8:$O$8,0))*(1+IF($D28="",GrowthRate,$D28))</f>
        <v>793.1</v>
      </c>
      <c r="I28" s="20">
        <f ca="1">INDEX(Historic!$D:$O,MATCH($B28,Historic!$B:$B,0),MATCH(EOMONTH(I$13,-12),Historic!$D$8:$O$8,0))*(1+IF($D28="",GrowthRate,$D28))</f>
        <v>793.1</v>
      </c>
      <c r="J28" s="20">
        <f ca="1">INDEX(Historic!$D:$O,MATCH($B28,Historic!$B:$B,0),MATCH(EOMONTH(J$13,-12),Historic!$D$8:$O$8,0))*(1+IF($D28="",GrowthRate,$D28))</f>
        <v>793.1</v>
      </c>
      <c r="K28" s="20">
        <f ca="1">INDEX(Historic!$D:$O,MATCH($B28,Historic!$B:$B,0),MATCH(EOMONTH(K$13,-12),Historic!$D$8:$O$8,0))*(1+IF($D28="",GrowthRate,$D28))</f>
        <v>793.1</v>
      </c>
      <c r="L28" s="20">
        <f ca="1">INDEX(Historic!$D:$O,MATCH($B28,Historic!$B:$B,0),MATCH(EOMONTH(L$13,-12),Historic!$D$8:$O$8,0))*(1+IF($D28="",GrowthRate,$D28))</f>
        <v>793.1</v>
      </c>
      <c r="M28" s="20">
        <f ca="1">INDEX(Historic!$D:$O,MATCH($B28,Historic!$B:$B,0),MATCH(EOMONTH(M$13,-12),Historic!$D$8:$O$8,0))*(1+IF($D28="",GrowthRate,$D28))</f>
        <v>793.1</v>
      </c>
      <c r="N28" s="20">
        <f ca="1">INDEX(Historic!$D:$O,MATCH($B28,Historic!$B:$B,0),MATCH(EOMONTH(N$13,-12),Historic!$D$8:$O$8,0))*(1+IF($D28="",GrowthRate,$D28))</f>
        <v>793.1</v>
      </c>
      <c r="O28" s="20">
        <f ca="1">INDEX(Historic!$D:$O,MATCH($B28,Historic!$B:$B,0),MATCH(EOMONTH(O$13,-12),Historic!$D$8:$O$8,0))*(1+IF($D28="",GrowthRate,$D28))</f>
        <v>793.1</v>
      </c>
      <c r="P28" s="20">
        <f ca="1">INDEX(Historic!$D:$O,MATCH($B28,Historic!$B:$B,0),MATCH(EOMONTH(P$13,-12),Historic!$D$8:$O$8,0))*(1+IF($D28="",GrowthRate,$D28))</f>
        <v>793.1</v>
      </c>
      <c r="Q28" s="20">
        <f ca="1">INDEX(Historic!$D:$O,MATCH($B28,Historic!$B:$B,0),MATCH(EOMONTH(Q$13,-12),Historic!$D$8:$O$8,0))*(1+IF($D28="",GrowthRate,$D28))</f>
        <v>793.1</v>
      </c>
      <c r="S28" s="4">
        <f t="shared" ref="S28" ca="1" si="11">SUM(F28:Q28)</f>
        <v>9517.2000000000025</v>
      </c>
    </row>
    <row r="29" spans="2:19" x14ac:dyDescent="0.35">
      <c r="F29" s="21">
        <f ca="1">F28/F17</f>
        <v>0.22107317073170735</v>
      </c>
      <c r="G29" s="21">
        <f t="shared" ref="G29:S29" ca="1" si="12">G28/G17</f>
        <v>0.22107317073170735</v>
      </c>
      <c r="H29" s="21">
        <f t="shared" ca="1" si="12"/>
        <v>0.22107317073170735</v>
      </c>
      <c r="I29" s="21">
        <f t="shared" ca="1" si="12"/>
        <v>0.22107317073170735</v>
      </c>
      <c r="J29" s="21">
        <f t="shared" ca="1" si="12"/>
        <v>0.22107317073170735</v>
      </c>
      <c r="K29" s="21">
        <f t="shared" ca="1" si="12"/>
        <v>0.22107317073170735</v>
      </c>
      <c r="L29" s="21">
        <f t="shared" ca="1" si="12"/>
        <v>0.22107317073170735</v>
      </c>
      <c r="M29" s="21">
        <f t="shared" ca="1" si="12"/>
        <v>0.22107317073170735</v>
      </c>
      <c r="N29" s="21">
        <f t="shared" ca="1" si="12"/>
        <v>0.22107317073170735</v>
      </c>
      <c r="O29" s="21">
        <f t="shared" ca="1" si="12"/>
        <v>0.22107317073170735</v>
      </c>
      <c r="P29" s="21">
        <f t="shared" ca="1" si="12"/>
        <v>0.22107317073170735</v>
      </c>
      <c r="Q29" s="21">
        <f t="shared" ca="1" si="12"/>
        <v>0.22107317073170735</v>
      </c>
      <c r="S29" s="6">
        <f t="shared" ca="1" si="12"/>
        <v>0.2210731707317074</v>
      </c>
    </row>
    <row r="30" spans="2:19" x14ac:dyDescent="0.35">
      <c r="B30" t="s">
        <v>23</v>
      </c>
      <c r="D30" s="26"/>
      <c r="F30" s="20">
        <f ca="1">INDEX(Historic!$D:$O,MATCH($B30,Historic!$B:$B,0),MATCH(EOMONTH(F$13,-12),Historic!$D$8:$O$8,0))*(1+IF($D30="",GrowthRate,$D30))</f>
        <v>618</v>
      </c>
      <c r="G30" s="20">
        <f ca="1">INDEX(Historic!$D:$O,MATCH($B30,Historic!$B:$B,0),MATCH(EOMONTH(G$13,-12),Historic!$D$8:$O$8,0))*(1+IF($D30="",GrowthRate,$D30))</f>
        <v>618</v>
      </c>
      <c r="H30" s="20">
        <f ca="1">INDEX(Historic!$D:$O,MATCH($B30,Historic!$B:$B,0),MATCH(EOMONTH(H$13,-12),Historic!$D$8:$O$8,0))*(1+IF($D30="",GrowthRate,$D30))</f>
        <v>618</v>
      </c>
      <c r="I30" s="20">
        <f ca="1">INDEX(Historic!$D:$O,MATCH($B30,Historic!$B:$B,0),MATCH(EOMONTH(I$13,-12),Historic!$D$8:$O$8,0))*(1+IF($D30="",GrowthRate,$D30))</f>
        <v>618</v>
      </c>
      <c r="J30" s="20">
        <f ca="1">INDEX(Historic!$D:$O,MATCH($B30,Historic!$B:$B,0),MATCH(EOMONTH(J$13,-12),Historic!$D$8:$O$8,0))*(1+IF($D30="",GrowthRate,$D30))</f>
        <v>618</v>
      </c>
      <c r="K30" s="20">
        <f ca="1">INDEX(Historic!$D:$O,MATCH($B30,Historic!$B:$B,0),MATCH(EOMONTH(K$13,-12),Historic!$D$8:$O$8,0))*(1+IF($D30="",GrowthRate,$D30))</f>
        <v>618</v>
      </c>
      <c r="L30" s="20">
        <f ca="1">INDEX(Historic!$D:$O,MATCH($B30,Historic!$B:$B,0),MATCH(EOMONTH(L$13,-12),Historic!$D$8:$O$8,0))*(1+IF($D30="",GrowthRate,$D30))</f>
        <v>618</v>
      </c>
      <c r="M30" s="20">
        <f ca="1">INDEX(Historic!$D:$O,MATCH($B30,Historic!$B:$B,0),MATCH(EOMONTH(M$13,-12),Historic!$D$8:$O$8,0))*(1+IF($D30="",GrowthRate,$D30))</f>
        <v>618</v>
      </c>
      <c r="N30" s="20">
        <f ca="1">INDEX(Historic!$D:$O,MATCH($B30,Historic!$B:$B,0),MATCH(EOMONTH(N$13,-12),Historic!$D$8:$O$8,0))*(1+IF($D30="",GrowthRate,$D30))</f>
        <v>618</v>
      </c>
      <c r="O30" s="20">
        <f ca="1">INDEX(Historic!$D:$O,MATCH($B30,Historic!$B:$B,0),MATCH(EOMONTH(O$13,-12),Historic!$D$8:$O$8,0))*(1+IF($D30="",GrowthRate,$D30))</f>
        <v>618</v>
      </c>
      <c r="P30" s="20">
        <f ca="1">INDEX(Historic!$D:$O,MATCH($B30,Historic!$B:$B,0),MATCH(EOMONTH(P$13,-12),Historic!$D$8:$O$8,0))*(1+IF($D30="",GrowthRate,$D30))</f>
        <v>618</v>
      </c>
      <c r="Q30" s="20">
        <f ca="1">INDEX(Historic!$D:$O,MATCH($B30,Historic!$B:$B,0),MATCH(EOMONTH(Q$13,-12),Historic!$D$8:$O$8,0))*(1+IF($D30="",GrowthRate,$D30))</f>
        <v>618</v>
      </c>
      <c r="S30" s="4">
        <f t="shared" ref="S30:S32" ca="1" si="13">SUM(F30:Q30)</f>
        <v>7416</v>
      </c>
    </row>
    <row r="31" spans="2:19" x14ac:dyDescent="0.35">
      <c r="B31" s="12"/>
      <c r="D31" s="12"/>
      <c r="F31" s="22">
        <f ca="1">F30/F19</f>
        <v>0.5024390243902439</v>
      </c>
      <c r="G31" s="22">
        <f t="shared" ref="G31:S31" ca="1" si="14">G30/G19</f>
        <v>0.5024390243902439</v>
      </c>
      <c r="H31" s="22">
        <f t="shared" ca="1" si="14"/>
        <v>0.5024390243902439</v>
      </c>
      <c r="I31" s="22">
        <f t="shared" ca="1" si="14"/>
        <v>0.5024390243902439</v>
      </c>
      <c r="J31" s="22">
        <f t="shared" ca="1" si="14"/>
        <v>0.5024390243902439</v>
      </c>
      <c r="K31" s="22">
        <f t="shared" ca="1" si="14"/>
        <v>0.5024390243902439</v>
      </c>
      <c r="L31" s="22">
        <f t="shared" ca="1" si="14"/>
        <v>0.5024390243902439</v>
      </c>
      <c r="M31" s="22">
        <f t="shared" ca="1" si="14"/>
        <v>0.5024390243902439</v>
      </c>
      <c r="N31" s="22">
        <f t="shared" ca="1" si="14"/>
        <v>0.5024390243902439</v>
      </c>
      <c r="O31" s="22">
        <f t="shared" ca="1" si="14"/>
        <v>0.5024390243902439</v>
      </c>
      <c r="P31" s="22">
        <f t="shared" ca="1" si="14"/>
        <v>0.5024390243902439</v>
      </c>
      <c r="Q31" s="22">
        <f t="shared" ca="1" si="14"/>
        <v>0.5024390243902439</v>
      </c>
      <c r="S31" s="13">
        <f t="shared" ca="1" si="14"/>
        <v>0.5024390243902439</v>
      </c>
    </row>
    <row r="32" spans="2:19" x14ac:dyDescent="0.35">
      <c r="B32" s="2" t="s">
        <v>16</v>
      </c>
      <c r="D32" s="29">
        <f ca="1">S32/Historic!Q27-1</f>
        <v>4.2919896640826627E-2</v>
      </c>
      <c r="F32" s="23">
        <f ca="1">SUM(F26,F28,F30)</f>
        <v>4036.1</v>
      </c>
      <c r="G32" s="23">
        <f t="shared" ref="G32:Q32" ca="1" si="15">SUM(G26,G28,G30)</f>
        <v>4036.1</v>
      </c>
      <c r="H32" s="23">
        <f t="shared" ca="1" si="15"/>
        <v>4036.1</v>
      </c>
      <c r="I32" s="23">
        <f t="shared" ca="1" si="15"/>
        <v>4036.1</v>
      </c>
      <c r="J32" s="23">
        <f t="shared" ca="1" si="15"/>
        <v>4036.1</v>
      </c>
      <c r="K32" s="23">
        <f t="shared" ca="1" si="15"/>
        <v>4036.1</v>
      </c>
      <c r="L32" s="23">
        <f t="shared" ca="1" si="15"/>
        <v>4036.1</v>
      </c>
      <c r="M32" s="23">
        <f t="shared" ca="1" si="15"/>
        <v>4036.1</v>
      </c>
      <c r="N32" s="23">
        <f t="shared" ca="1" si="15"/>
        <v>4036.1</v>
      </c>
      <c r="O32" s="23">
        <f t="shared" ca="1" si="15"/>
        <v>4036.1</v>
      </c>
      <c r="P32" s="23">
        <f t="shared" ca="1" si="15"/>
        <v>4036.1</v>
      </c>
      <c r="Q32" s="23">
        <f t="shared" ca="1" si="15"/>
        <v>4036.1</v>
      </c>
      <c r="S32" s="5">
        <f t="shared" ca="1" si="13"/>
        <v>48433.19999999999</v>
      </c>
    </row>
    <row r="33" spans="2:19" x14ac:dyDescent="0.35">
      <c r="B33" s="2"/>
      <c r="D33" s="2"/>
      <c r="F33" s="21">
        <f ca="1">F32/F21</f>
        <v>0.26698197453282618</v>
      </c>
      <c r="G33" s="21">
        <f t="shared" ref="G33:S33" ca="1" si="16">G32/G21</f>
        <v>0.26698197453282618</v>
      </c>
      <c r="H33" s="21">
        <f t="shared" ca="1" si="16"/>
        <v>0.26698197453282618</v>
      </c>
      <c r="I33" s="21">
        <f t="shared" ca="1" si="16"/>
        <v>0.26698197453282618</v>
      </c>
      <c r="J33" s="21">
        <f t="shared" ca="1" si="16"/>
        <v>0.26698197453282618</v>
      </c>
      <c r="K33" s="21">
        <f t="shared" ca="1" si="16"/>
        <v>0.26698197453282618</v>
      </c>
      <c r="L33" s="21">
        <f t="shared" ca="1" si="16"/>
        <v>0.26698197453282618</v>
      </c>
      <c r="M33" s="21">
        <f t="shared" ca="1" si="16"/>
        <v>0.26698197453282618</v>
      </c>
      <c r="N33" s="21">
        <f t="shared" ca="1" si="16"/>
        <v>0.26698197453282618</v>
      </c>
      <c r="O33" s="21">
        <f t="shared" ca="1" si="16"/>
        <v>0.26698197453282618</v>
      </c>
      <c r="P33" s="21">
        <f t="shared" ca="1" si="16"/>
        <v>0.26698197453282618</v>
      </c>
      <c r="Q33" s="21">
        <f t="shared" ca="1" si="16"/>
        <v>0.26698197453282618</v>
      </c>
      <c r="S33" s="6">
        <f t="shared" ca="1" si="16"/>
        <v>0.26698197453282613</v>
      </c>
    </row>
    <row r="34" spans="2:19" x14ac:dyDescent="0.35">
      <c r="B34" s="2"/>
      <c r="D34" s="2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S34" s="6"/>
    </row>
    <row r="35" spans="2:19" x14ac:dyDescent="0.35"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S35" s="3"/>
    </row>
    <row r="36" spans="2:19" x14ac:dyDescent="0.35">
      <c r="B36" s="8" t="s">
        <v>6</v>
      </c>
      <c r="D36" s="30">
        <f ca="1">S36/Historic!Q31-1</f>
        <v>2.3213296398891581E-2</v>
      </c>
      <c r="F36" s="25">
        <f t="shared" ref="F36:Q36" ca="1" si="17">+F21-F32</f>
        <v>11081.4</v>
      </c>
      <c r="G36" s="25">
        <f t="shared" ca="1" si="17"/>
        <v>11081.4</v>
      </c>
      <c r="H36" s="25">
        <f t="shared" ca="1" si="17"/>
        <v>11081.4</v>
      </c>
      <c r="I36" s="25">
        <f t="shared" ca="1" si="17"/>
        <v>11081.4</v>
      </c>
      <c r="J36" s="25">
        <f t="shared" ca="1" si="17"/>
        <v>11081.4</v>
      </c>
      <c r="K36" s="25">
        <f t="shared" ca="1" si="17"/>
        <v>11081.4</v>
      </c>
      <c r="L36" s="25">
        <f t="shared" ca="1" si="17"/>
        <v>11081.4</v>
      </c>
      <c r="M36" s="25">
        <f t="shared" ca="1" si="17"/>
        <v>11081.4</v>
      </c>
      <c r="N36" s="25">
        <f t="shared" ca="1" si="17"/>
        <v>11081.4</v>
      </c>
      <c r="O36" s="25">
        <f t="shared" ca="1" si="17"/>
        <v>11081.4</v>
      </c>
      <c r="P36" s="25">
        <f t="shared" ca="1" si="17"/>
        <v>11081.4</v>
      </c>
      <c r="Q36" s="25">
        <f t="shared" ca="1" si="17"/>
        <v>11081.4</v>
      </c>
      <c r="S36" s="11">
        <f t="shared" ref="S36" ca="1" si="18">SUM(F36:Q36)</f>
        <v>132976.79999999996</v>
      </c>
    </row>
    <row r="37" spans="2:19" x14ac:dyDescent="0.35">
      <c r="B37" s="2"/>
      <c r="D37" s="29"/>
      <c r="F37" s="21">
        <f t="shared" ref="F37:Q37" ca="1" si="19">F36/F21</f>
        <v>0.73301802546717376</v>
      </c>
      <c r="G37" s="21">
        <f t="shared" ca="1" si="19"/>
        <v>0.73301802546717376</v>
      </c>
      <c r="H37" s="21">
        <f t="shared" ca="1" si="19"/>
        <v>0.73301802546717376</v>
      </c>
      <c r="I37" s="21">
        <f t="shared" ca="1" si="19"/>
        <v>0.73301802546717376</v>
      </c>
      <c r="J37" s="21">
        <f t="shared" ca="1" si="19"/>
        <v>0.73301802546717376</v>
      </c>
      <c r="K37" s="21">
        <f t="shared" ca="1" si="19"/>
        <v>0.73301802546717376</v>
      </c>
      <c r="L37" s="21">
        <f t="shared" ca="1" si="19"/>
        <v>0.73301802546717376</v>
      </c>
      <c r="M37" s="21">
        <f t="shared" ca="1" si="19"/>
        <v>0.73301802546717376</v>
      </c>
      <c r="N37" s="21">
        <f t="shared" ca="1" si="19"/>
        <v>0.73301802546717376</v>
      </c>
      <c r="O37" s="21">
        <f t="shared" ca="1" si="19"/>
        <v>0.73301802546717376</v>
      </c>
      <c r="P37" s="21">
        <f t="shared" ca="1" si="19"/>
        <v>0.73301802546717376</v>
      </c>
      <c r="Q37" s="21">
        <f t="shared" ca="1" si="19"/>
        <v>0.73301802546717376</v>
      </c>
      <c r="S37" s="6">
        <f ca="1">S36/S21</f>
        <v>0.73301802546717354</v>
      </c>
    </row>
    <row r="38" spans="2:19" x14ac:dyDescent="0.35">
      <c r="B38" s="2"/>
      <c r="D38" s="2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S38" s="6"/>
    </row>
    <row r="40" spans="2:19" x14ac:dyDescent="0.35">
      <c r="B40" s="8" t="s">
        <v>3</v>
      </c>
      <c r="D40" s="10" t="s">
        <v>20</v>
      </c>
      <c r="F40" s="9">
        <f ca="1">CommencementDate</f>
        <v>46082</v>
      </c>
      <c r="G40" s="9">
        <f ca="1">EOMONTH(F40,1)</f>
        <v>46142</v>
      </c>
      <c r="H40" s="9">
        <f t="shared" ref="H40:Q40" ca="1" si="20">EOMONTH(G40,1)</f>
        <v>46173</v>
      </c>
      <c r="I40" s="9">
        <f t="shared" ca="1" si="20"/>
        <v>46203</v>
      </c>
      <c r="J40" s="9">
        <f t="shared" ca="1" si="20"/>
        <v>46234</v>
      </c>
      <c r="K40" s="9">
        <f t="shared" ca="1" si="20"/>
        <v>46265</v>
      </c>
      <c r="L40" s="9">
        <f t="shared" ca="1" si="20"/>
        <v>46295</v>
      </c>
      <c r="M40" s="9">
        <f t="shared" ca="1" si="20"/>
        <v>46326</v>
      </c>
      <c r="N40" s="9">
        <f t="shared" ca="1" si="20"/>
        <v>46356</v>
      </c>
      <c r="O40" s="9">
        <f t="shared" ca="1" si="20"/>
        <v>46387</v>
      </c>
      <c r="P40" s="9">
        <f ca="1">EOMONTH(O40,1)</f>
        <v>46418</v>
      </c>
      <c r="Q40" s="9">
        <f t="shared" ca="1" si="20"/>
        <v>46446</v>
      </c>
      <c r="S40" s="10" t="s">
        <v>18</v>
      </c>
    </row>
    <row r="41" spans="2:19" ht="2" customHeight="1" x14ac:dyDescent="0.35">
      <c r="B41" s="2"/>
      <c r="D41" s="2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S41" s="18"/>
    </row>
    <row r="42" spans="2:19" x14ac:dyDescent="0.35">
      <c r="B42" t="s">
        <v>4</v>
      </c>
      <c r="D42" s="26">
        <v>3.5000000000000003E-2</v>
      </c>
      <c r="F42" s="20">
        <f ca="1">INDEX(Historic!$D:$O,MATCH($B42,Historic!$B:$B,0),MATCH(EOMONTH(F$13,-12),Historic!$D$8:$O$8,0))*(1+IF($D42="",GrowthRate,$D42))</f>
        <v>5175</v>
      </c>
      <c r="G42" s="20">
        <f ca="1">INDEX(Historic!$D:$O,MATCH($B42,Historic!$B:$B,0),MATCH(EOMONTH(G$13,-12),Historic!$D$8:$O$8,0))*(1+IF($D42="",GrowthRate,$D42))</f>
        <v>5175</v>
      </c>
      <c r="H42" s="20">
        <f ca="1">INDEX(Historic!$D:$O,MATCH($B42,Historic!$B:$B,0),MATCH(EOMONTH(H$13,-12),Historic!$D$8:$O$8,0))*(1+IF($D42="",GrowthRate,$D42))</f>
        <v>5175</v>
      </c>
      <c r="I42" s="20">
        <f ca="1">INDEX(Historic!$D:$O,MATCH($B42,Historic!$B:$B,0),MATCH(EOMONTH(I$13,-12),Historic!$D$8:$O$8,0))*(1+IF($D42="",GrowthRate,$D42))</f>
        <v>5175</v>
      </c>
      <c r="J42" s="20">
        <f ca="1">INDEX(Historic!$D:$O,MATCH($B42,Historic!$B:$B,0),MATCH(EOMONTH(J$13,-12),Historic!$D$8:$O$8,0))*(1+IF($D42="",GrowthRate,$D42))</f>
        <v>5175</v>
      </c>
      <c r="K42" s="20">
        <f ca="1">INDEX(Historic!$D:$O,MATCH($B42,Historic!$B:$B,0),MATCH(EOMONTH(K$13,-12),Historic!$D$8:$O$8,0))*(1+IF($D42="",GrowthRate,$D42))</f>
        <v>5175</v>
      </c>
      <c r="L42" s="20">
        <f ca="1">INDEX(Historic!$D:$O,MATCH($B42,Historic!$B:$B,0),MATCH(EOMONTH(L$13,-12),Historic!$D$8:$O$8,0))*(1+IF($D42="",GrowthRate,$D42))</f>
        <v>5175</v>
      </c>
      <c r="M42" s="20">
        <f ca="1">INDEX(Historic!$D:$O,MATCH($B42,Historic!$B:$B,0),MATCH(EOMONTH(M$13,-12),Historic!$D$8:$O$8,0))*(1+IF($D42="",GrowthRate,$D42))</f>
        <v>5175</v>
      </c>
      <c r="N42" s="20">
        <f ca="1">INDEX(Historic!$D:$O,MATCH($B42,Historic!$B:$B,0),MATCH(EOMONTH(N$13,-12),Historic!$D$8:$O$8,0))*(1+IF($D42="",GrowthRate,$D42))</f>
        <v>5175</v>
      </c>
      <c r="O42" s="20">
        <f ca="1">INDEX(Historic!$D:$O,MATCH($B42,Historic!$B:$B,0),MATCH(EOMONTH(O$13,-12),Historic!$D$8:$O$8,0))*(1+IF($D42="",GrowthRate,$D42))</f>
        <v>5175</v>
      </c>
      <c r="P42" s="20">
        <f ca="1">INDEX(Historic!$D:$O,MATCH($B42,Historic!$B:$B,0),MATCH(EOMONTH(P$13,-12),Historic!$D$8:$O$8,0))*(1+IF($D42="",GrowthRate,$D42))</f>
        <v>5175</v>
      </c>
      <c r="Q42" s="20">
        <f ca="1">INDEX(Historic!$D:$O,MATCH($B42,Historic!$B:$B,0),MATCH(EOMONTH(Q$13,-12),Historic!$D$8:$O$8,0))*(1+IF($D42="",GrowthRate,$D42))</f>
        <v>5175</v>
      </c>
      <c r="S42" s="4">
        <f t="shared" ref="S42" ca="1" si="21">SUM(F42:Q42)</f>
        <v>62100</v>
      </c>
    </row>
    <row r="43" spans="2:19" x14ac:dyDescent="0.35">
      <c r="F43" s="21">
        <f ca="1">F42/F$21</f>
        <v>0.34231850504382338</v>
      </c>
      <c r="G43" s="21">
        <f t="shared" ref="G43:S43" ca="1" si="22">G42/G$21</f>
        <v>0.34231850504382338</v>
      </c>
      <c r="H43" s="21">
        <f t="shared" ca="1" si="22"/>
        <v>0.34231850504382338</v>
      </c>
      <c r="I43" s="21">
        <f t="shared" ca="1" si="22"/>
        <v>0.34231850504382338</v>
      </c>
      <c r="J43" s="21">
        <f t="shared" ca="1" si="22"/>
        <v>0.34231850504382338</v>
      </c>
      <c r="K43" s="21">
        <f t="shared" ca="1" si="22"/>
        <v>0.34231850504382338</v>
      </c>
      <c r="L43" s="21">
        <f t="shared" ca="1" si="22"/>
        <v>0.34231850504382338</v>
      </c>
      <c r="M43" s="21">
        <f t="shared" ca="1" si="22"/>
        <v>0.34231850504382338</v>
      </c>
      <c r="N43" s="21">
        <f t="shared" ca="1" si="22"/>
        <v>0.34231850504382338</v>
      </c>
      <c r="O43" s="21">
        <f t="shared" ca="1" si="22"/>
        <v>0.34231850504382338</v>
      </c>
      <c r="P43" s="21">
        <f t="shared" ca="1" si="22"/>
        <v>0.34231850504382338</v>
      </c>
      <c r="Q43" s="21">
        <f t="shared" ca="1" si="22"/>
        <v>0.34231850504382338</v>
      </c>
      <c r="S43" s="6">
        <f t="shared" ca="1" si="22"/>
        <v>0.34231850504382338</v>
      </c>
    </row>
    <row r="44" spans="2:19" x14ac:dyDescent="0.35">
      <c r="B44" t="s">
        <v>7</v>
      </c>
      <c r="D44" s="26">
        <v>0.04</v>
      </c>
      <c r="F44" s="20">
        <f ca="1">INDEX(Historic!$D:$O,MATCH($B44,Historic!$B:$B,0),MATCH(EOMONTH(F$13,-12),Historic!$D$8:$O$8,0))*(1+IF($D44="",GrowthRate,$D44))</f>
        <v>520</v>
      </c>
      <c r="G44" s="20">
        <f ca="1">INDEX(Historic!$D:$O,MATCH($B44,Historic!$B:$B,0),MATCH(EOMONTH(G$13,-12),Historic!$D$8:$O$8,0))*(1+IF($D44="",GrowthRate,$D44))</f>
        <v>520</v>
      </c>
      <c r="H44" s="20">
        <f ca="1">INDEX(Historic!$D:$O,MATCH($B44,Historic!$B:$B,0),MATCH(EOMONTH(H$13,-12),Historic!$D$8:$O$8,0))*(1+IF($D44="",GrowthRate,$D44))</f>
        <v>520</v>
      </c>
      <c r="I44" s="20">
        <f ca="1">INDEX(Historic!$D:$O,MATCH($B44,Historic!$B:$B,0),MATCH(EOMONTH(I$13,-12),Historic!$D$8:$O$8,0))*(1+IF($D44="",GrowthRate,$D44))</f>
        <v>520</v>
      </c>
      <c r="J44" s="20">
        <f ca="1">INDEX(Historic!$D:$O,MATCH($B44,Historic!$B:$B,0),MATCH(EOMONTH(J$13,-12),Historic!$D$8:$O$8,0))*(1+IF($D44="",GrowthRate,$D44))</f>
        <v>520</v>
      </c>
      <c r="K44" s="20">
        <f ca="1">INDEX(Historic!$D:$O,MATCH($B44,Historic!$B:$B,0),MATCH(EOMONTH(K$13,-12),Historic!$D$8:$O$8,0))*(1+IF($D44="",GrowthRate,$D44))</f>
        <v>520</v>
      </c>
      <c r="L44" s="20">
        <f ca="1">INDEX(Historic!$D:$O,MATCH($B44,Historic!$B:$B,0),MATCH(EOMONTH(L$13,-12),Historic!$D$8:$O$8,0))*(1+IF($D44="",GrowthRate,$D44))</f>
        <v>520</v>
      </c>
      <c r="M44" s="20">
        <f ca="1">INDEX(Historic!$D:$O,MATCH($B44,Historic!$B:$B,0),MATCH(EOMONTH(M$13,-12),Historic!$D$8:$O$8,0))*(1+IF($D44="",GrowthRate,$D44))</f>
        <v>520</v>
      </c>
      <c r="N44" s="20">
        <f ca="1">INDEX(Historic!$D:$O,MATCH($B44,Historic!$B:$B,0),MATCH(EOMONTH(N$13,-12),Historic!$D$8:$O$8,0))*(1+IF($D44="",GrowthRate,$D44))</f>
        <v>520</v>
      </c>
      <c r="O44" s="20">
        <f ca="1">INDEX(Historic!$D:$O,MATCH($B44,Historic!$B:$B,0),MATCH(EOMONTH(O$13,-12),Historic!$D$8:$O$8,0))*(1+IF($D44="",GrowthRate,$D44))</f>
        <v>520</v>
      </c>
      <c r="P44" s="20">
        <f ca="1">INDEX(Historic!$D:$O,MATCH($B44,Historic!$B:$B,0),MATCH(EOMONTH(P$13,-12),Historic!$D$8:$O$8,0))*(1+IF($D44="",GrowthRate,$D44))</f>
        <v>520</v>
      </c>
      <c r="Q44" s="20">
        <f ca="1">INDEX(Historic!$D:$O,MATCH($B44,Historic!$B:$B,0),MATCH(EOMONTH(Q$13,-12),Historic!$D$8:$O$8,0))*(1+IF($D44="",GrowthRate,$D44))</f>
        <v>520</v>
      </c>
      <c r="S44" s="4">
        <f t="shared" ref="S44" ca="1" si="23">SUM(F44:Q44)</f>
        <v>6240</v>
      </c>
    </row>
    <row r="45" spans="2:19" x14ac:dyDescent="0.35">
      <c r="F45" s="21">
        <f ca="1">F44/F$21</f>
        <v>3.4397221762857616E-2</v>
      </c>
      <c r="G45" s="21">
        <f t="shared" ref="G45:Q45" ca="1" si="24">G44/G$21</f>
        <v>3.4397221762857616E-2</v>
      </c>
      <c r="H45" s="21">
        <f t="shared" ca="1" si="24"/>
        <v>3.4397221762857616E-2</v>
      </c>
      <c r="I45" s="21">
        <f t="shared" ca="1" si="24"/>
        <v>3.4397221762857616E-2</v>
      </c>
      <c r="J45" s="21">
        <f t="shared" ca="1" si="24"/>
        <v>3.4397221762857616E-2</v>
      </c>
      <c r="K45" s="21">
        <f t="shared" ca="1" si="24"/>
        <v>3.4397221762857616E-2</v>
      </c>
      <c r="L45" s="21">
        <f t="shared" ca="1" si="24"/>
        <v>3.4397221762857616E-2</v>
      </c>
      <c r="M45" s="21">
        <f t="shared" ca="1" si="24"/>
        <v>3.4397221762857616E-2</v>
      </c>
      <c r="N45" s="21">
        <f t="shared" ca="1" si="24"/>
        <v>3.4397221762857616E-2</v>
      </c>
      <c r="O45" s="21">
        <f t="shared" ca="1" si="24"/>
        <v>3.4397221762857616E-2</v>
      </c>
      <c r="P45" s="21">
        <f t="shared" ca="1" si="24"/>
        <v>3.4397221762857616E-2</v>
      </c>
      <c r="Q45" s="21">
        <f t="shared" ca="1" si="24"/>
        <v>3.4397221762857616E-2</v>
      </c>
      <c r="S45" s="6">
        <f t="shared" ref="S45" ca="1" si="25">S44/S$21</f>
        <v>3.4397221762857616E-2</v>
      </c>
    </row>
    <row r="46" spans="2:19" x14ac:dyDescent="0.35">
      <c r="B46" t="s">
        <v>10</v>
      </c>
      <c r="D46" s="26">
        <v>2.5000000000000001E-2</v>
      </c>
      <c r="F46" s="20">
        <f ca="1">INDEX(Historic!$D:$O,MATCH($B46,Historic!$B:$B,0),MATCH(EOMONTH(F$13,-12),Historic!$D$8:$O$8,0))*(1+IF($D46="",GrowthRate,$D46))</f>
        <v>204.99999999999997</v>
      </c>
      <c r="G46" s="20">
        <f ca="1">INDEX(Historic!$D:$O,MATCH($B46,Historic!$B:$B,0),MATCH(EOMONTH(G$13,-12),Historic!$D$8:$O$8,0))*(1+IF($D46="",GrowthRate,$D46))</f>
        <v>204.99999999999997</v>
      </c>
      <c r="H46" s="20">
        <f ca="1">INDEX(Historic!$D:$O,MATCH($B46,Historic!$B:$B,0),MATCH(EOMONTH(H$13,-12),Historic!$D$8:$O$8,0))*(1+IF($D46="",GrowthRate,$D46))</f>
        <v>204.99999999999997</v>
      </c>
      <c r="I46" s="20">
        <f ca="1">INDEX(Historic!$D:$O,MATCH($B46,Historic!$B:$B,0),MATCH(EOMONTH(I$13,-12),Historic!$D$8:$O$8,0))*(1+IF($D46="",GrowthRate,$D46))</f>
        <v>204.99999999999997</v>
      </c>
      <c r="J46" s="20">
        <f ca="1">INDEX(Historic!$D:$O,MATCH($B46,Historic!$B:$B,0),MATCH(EOMONTH(J$13,-12),Historic!$D$8:$O$8,0))*(1+IF($D46="",GrowthRate,$D46))</f>
        <v>204.99999999999997</v>
      </c>
      <c r="K46" s="20">
        <f ca="1">INDEX(Historic!$D:$O,MATCH($B46,Historic!$B:$B,0),MATCH(EOMONTH(K$13,-12),Historic!$D$8:$O$8,0))*(1+IF($D46="",GrowthRate,$D46))</f>
        <v>204.99999999999997</v>
      </c>
      <c r="L46" s="20">
        <f ca="1">INDEX(Historic!$D:$O,MATCH($B46,Historic!$B:$B,0),MATCH(EOMONTH(L$13,-12),Historic!$D$8:$O$8,0))*(1+IF($D46="",GrowthRate,$D46))</f>
        <v>204.99999999999997</v>
      </c>
      <c r="M46" s="20">
        <f ca="1">INDEX(Historic!$D:$O,MATCH($B46,Historic!$B:$B,0),MATCH(EOMONTH(M$13,-12),Historic!$D$8:$O$8,0))*(1+IF($D46="",GrowthRate,$D46))</f>
        <v>204.99999999999997</v>
      </c>
      <c r="N46" s="20">
        <f ca="1">INDEX(Historic!$D:$O,MATCH($B46,Historic!$B:$B,0),MATCH(EOMONTH(N$13,-12),Historic!$D$8:$O$8,0))*(1+IF($D46="",GrowthRate,$D46))</f>
        <v>204.99999999999997</v>
      </c>
      <c r="O46" s="20">
        <f ca="1">INDEX(Historic!$D:$O,MATCH($B46,Historic!$B:$B,0),MATCH(EOMONTH(O$13,-12),Historic!$D$8:$O$8,0))*(1+IF($D46="",GrowthRate,$D46))</f>
        <v>204.99999999999997</v>
      </c>
      <c r="P46" s="20">
        <f ca="1">INDEX(Historic!$D:$O,MATCH($B46,Historic!$B:$B,0),MATCH(EOMONTH(P$13,-12),Historic!$D$8:$O$8,0))*(1+IF($D46="",GrowthRate,$D46))</f>
        <v>204.99999999999997</v>
      </c>
      <c r="Q46" s="20">
        <f ca="1">INDEX(Historic!$D:$O,MATCH($B46,Historic!$B:$B,0),MATCH(EOMONTH(Q$13,-12),Historic!$D$8:$O$8,0))*(1+IF($D46="",GrowthRate,$D46))</f>
        <v>204.99999999999997</v>
      </c>
      <c r="S46" s="4">
        <f t="shared" ref="S46" ca="1" si="26">SUM(F46:Q46)</f>
        <v>2459.9999999999995</v>
      </c>
    </row>
    <row r="47" spans="2:19" x14ac:dyDescent="0.35">
      <c r="F47" s="21">
        <f ca="1">F46/F$21</f>
        <v>1.3560443194972712E-2</v>
      </c>
      <c r="G47" s="21">
        <f t="shared" ref="G47:Q47" ca="1" si="27">G46/G$21</f>
        <v>1.3560443194972712E-2</v>
      </c>
      <c r="H47" s="21">
        <f t="shared" ca="1" si="27"/>
        <v>1.3560443194972712E-2</v>
      </c>
      <c r="I47" s="21">
        <f t="shared" ca="1" si="27"/>
        <v>1.3560443194972712E-2</v>
      </c>
      <c r="J47" s="21">
        <f t="shared" ca="1" si="27"/>
        <v>1.3560443194972712E-2</v>
      </c>
      <c r="K47" s="21">
        <f t="shared" ca="1" si="27"/>
        <v>1.3560443194972712E-2</v>
      </c>
      <c r="L47" s="21">
        <f t="shared" ca="1" si="27"/>
        <v>1.3560443194972712E-2</v>
      </c>
      <c r="M47" s="21">
        <f t="shared" ca="1" si="27"/>
        <v>1.3560443194972712E-2</v>
      </c>
      <c r="N47" s="21">
        <f t="shared" ca="1" si="27"/>
        <v>1.3560443194972712E-2</v>
      </c>
      <c r="O47" s="21">
        <f t="shared" ca="1" si="27"/>
        <v>1.3560443194972712E-2</v>
      </c>
      <c r="P47" s="21">
        <f t="shared" ca="1" si="27"/>
        <v>1.3560443194972712E-2</v>
      </c>
      <c r="Q47" s="21">
        <f t="shared" ca="1" si="27"/>
        <v>1.3560443194972712E-2</v>
      </c>
      <c r="S47" s="6">
        <f t="shared" ref="S47" ca="1" si="28">S46/S$21</f>
        <v>1.3560443194972712E-2</v>
      </c>
    </row>
    <row r="48" spans="2:19" x14ac:dyDescent="0.35">
      <c r="B48" t="s">
        <v>9</v>
      </c>
      <c r="D48" s="26">
        <v>0.05</v>
      </c>
      <c r="F48" s="20">
        <f ca="1">INDEX(Historic!$D:$O,MATCH($B48,Historic!$B:$B,0),MATCH(EOMONTH(F$13,-12),Historic!$D$8:$O$8,0))*(1+IF($D48="",GrowthRate,$D48))</f>
        <v>367.5</v>
      </c>
      <c r="G48" s="20">
        <f ca="1">INDEX(Historic!$D:$O,MATCH($B48,Historic!$B:$B,0),MATCH(EOMONTH(G$13,-12),Historic!$D$8:$O$8,0))*(1+IF($D48="",GrowthRate,$D48))</f>
        <v>367.5</v>
      </c>
      <c r="H48" s="20">
        <f ca="1">INDEX(Historic!$D:$O,MATCH($B48,Historic!$B:$B,0),MATCH(EOMONTH(H$13,-12),Historic!$D$8:$O$8,0))*(1+IF($D48="",GrowthRate,$D48))</f>
        <v>367.5</v>
      </c>
      <c r="I48" s="20">
        <f ca="1">INDEX(Historic!$D:$O,MATCH($B48,Historic!$B:$B,0),MATCH(EOMONTH(I$13,-12),Historic!$D$8:$O$8,0))*(1+IF($D48="",GrowthRate,$D48))</f>
        <v>367.5</v>
      </c>
      <c r="J48" s="20">
        <f ca="1">INDEX(Historic!$D:$O,MATCH($B48,Historic!$B:$B,0),MATCH(EOMONTH(J$13,-12),Historic!$D$8:$O$8,0))*(1+IF($D48="",GrowthRate,$D48))</f>
        <v>367.5</v>
      </c>
      <c r="K48" s="20">
        <f ca="1">INDEX(Historic!$D:$O,MATCH($B48,Historic!$B:$B,0),MATCH(EOMONTH(K$13,-12),Historic!$D$8:$O$8,0))*(1+IF($D48="",GrowthRate,$D48))</f>
        <v>367.5</v>
      </c>
      <c r="L48" s="20">
        <f ca="1">INDEX(Historic!$D:$O,MATCH($B48,Historic!$B:$B,0),MATCH(EOMONTH(L$13,-12),Historic!$D$8:$O$8,0))*(1+IF($D48="",GrowthRate,$D48))</f>
        <v>367.5</v>
      </c>
      <c r="M48" s="20">
        <f ca="1">INDEX(Historic!$D:$O,MATCH($B48,Historic!$B:$B,0),MATCH(EOMONTH(M$13,-12),Historic!$D$8:$O$8,0))*(1+IF($D48="",GrowthRate,$D48))</f>
        <v>367.5</v>
      </c>
      <c r="N48" s="20">
        <f ca="1">INDEX(Historic!$D:$O,MATCH($B48,Historic!$B:$B,0),MATCH(EOMONTH(N$13,-12),Historic!$D$8:$O$8,0))*(1+IF($D48="",GrowthRate,$D48))</f>
        <v>367.5</v>
      </c>
      <c r="O48" s="20">
        <f ca="1">INDEX(Historic!$D:$O,MATCH($B48,Historic!$B:$B,0),MATCH(EOMONTH(O$13,-12),Historic!$D$8:$O$8,0))*(1+IF($D48="",GrowthRate,$D48))</f>
        <v>367.5</v>
      </c>
      <c r="P48" s="20">
        <f ca="1">INDEX(Historic!$D:$O,MATCH($B48,Historic!$B:$B,0),MATCH(EOMONTH(P$13,-12),Historic!$D$8:$O$8,0))*(1+IF($D48="",GrowthRate,$D48))</f>
        <v>367.5</v>
      </c>
      <c r="Q48" s="20">
        <f ca="1">INDEX(Historic!$D:$O,MATCH($B48,Historic!$B:$B,0),MATCH(EOMONTH(Q$13,-12),Historic!$D$8:$O$8,0))*(1+IF($D48="",GrowthRate,$D48))</f>
        <v>367.5</v>
      </c>
      <c r="S48" s="4">
        <f t="shared" ref="S48" ca="1" si="29">SUM(F48:Q48)</f>
        <v>4410</v>
      </c>
    </row>
    <row r="49" spans="2:19" x14ac:dyDescent="0.35">
      <c r="F49" s="21">
        <f ca="1">F48/F$21</f>
        <v>2.430957499586572E-2</v>
      </c>
      <c r="G49" s="21">
        <f t="shared" ref="G49:Q49" ca="1" si="30">G48/G$21</f>
        <v>2.430957499586572E-2</v>
      </c>
      <c r="H49" s="21">
        <f t="shared" ca="1" si="30"/>
        <v>2.430957499586572E-2</v>
      </c>
      <c r="I49" s="21">
        <f t="shared" ca="1" si="30"/>
        <v>2.430957499586572E-2</v>
      </c>
      <c r="J49" s="21">
        <f t="shared" ca="1" si="30"/>
        <v>2.430957499586572E-2</v>
      </c>
      <c r="K49" s="21">
        <f t="shared" ca="1" si="30"/>
        <v>2.430957499586572E-2</v>
      </c>
      <c r="L49" s="21">
        <f t="shared" ca="1" si="30"/>
        <v>2.430957499586572E-2</v>
      </c>
      <c r="M49" s="21">
        <f t="shared" ca="1" si="30"/>
        <v>2.430957499586572E-2</v>
      </c>
      <c r="N49" s="21">
        <f t="shared" ca="1" si="30"/>
        <v>2.430957499586572E-2</v>
      </c>
      <c r="O49" s="21">
        <f t="shared" ca="1" si="30"/>
        <v>2.430957499586572E-2</v>
      </c>
      <c r="P49" s="21">
        <f t="shared" ca="1" si="30"/>
        <v>2.430957499586572E-2</v>
      </c>
      <c r="Q49" s="21">
        <f t="shared" ca="1" si="30"/>
        <v>2.430957499586572E-2</v>
      </c>
      <c r="S49" s="6">
        <f t="shared" ref="S49" ca="1" si="31">S48/S$21</f>
        <v>2.430957499586572E-2</v>
      </c>
    </row>
    <row r="50" spans="2:19" x14ac:dyDescent="0.35">
      <c r="B50" t="s">
        <v>11</v>
      </c>
      <c r="D50" s="26">
        <v>0.03</v>
      </c>
      <c r="F50" s="20">
        <f ca="1">INDEX(Historic!$D:$O,MATCH($B50,Historic!$B:$B,0),MATCH(EOMONTH(F$13,-12),Historic!$D$8:$O$8,0))*(1+IF($D50="",GrowthRate,$D50))</f>
        <v>1030</v>
      </c>
      <c r="G50" s="20">
        <f ca="1">INDEX(Historic!$D:$O,MATCH($B50,Historic!$B:$B,0),MATCH(EOMONTH(G$13,-12),Historic!$D$8:$O$8,0))*(1+IF($D50="",GrowthRate,$D50))</f>
        <v>1030</v>
      </c>
      <c r="H50" s="20">
        <f ca="1">INDEX(Historic!$D:$O,MATCH($B50,Historic!$B:$B,0),MATCH(EOMONTH(H$13,-12),Historic!$D$8:$O$8,0))*(1+IF($D50="",GrowthRate,$D50))</f>
        <v>1030</v>
      </c>
      <c r="I50" s="20">
        <f ca="1">INDEX(Historic!$D:$O,MATCH($B50,Historic!$B:$B,0),MATCH(EOMONTH(I$13,-12),Historic!$D$8:$O$8,0))*(1+IF($D50="",GrowthRate,$D50))</f>
        <v>1030</v>
      </c>
      <c r="J50" s="20">
        <f ca="1">INDEX(Historic!$D:$O,MATCH($B50,Historic!$B:$B,0),MATCH(EOMONTH(J$13,-12),Historic!$D$8:$O$8,0))*(1+IF($D50="",GrowthRate,$D50))</f>
        <v>1030</v>
      </c>
      <c r="K50" s="20">
        <f ca="1">INDEX(Historic!$D:$O,MATCH($B50,Historic!$B:$B,0),MATCH(EOMONTH(K$13,-12),Historic!$D$8:$O$8,0))*(1+IF($D50="",GrowthRate,$D50))</f>
        <v>1030</v>
      </c>
      <c r="L50" s="20">
        <f ca="1">INDEX(Historic!$D:$O,MATCH($B50,Historic!$B:$B,0),MATCH(EOMONTH(L$13,-12),Historic!$D$8:$O$8,0))*(1+IF($D50="",GrowthRate,$D50))</f>
        <v>1030</v>
      </c>
      <c r="M50" s="20">
        <f ca="1">INDEX(Historic!$D:$O,MATCH($B50,Historic!$B:$B,0),MATCH(EOMONTH(M$13,-12),Historic!$D$8:$O$8,0))*(1+IF($D50="",GrowthRate,$D50))</f>
        <v>1030</v>
      </c>
      <c r="N50" s="20">
        <f ca="1">INDEX(Historic!$D:$O,MATCH($B50,Historic!$B:$B,0),MATCH(EOMONTH(N$13,-12),Historic!$D$8:$O$8,0))*(1+IF($D50="",GrowthRate,$D50))</f>
        <v>1030</v>
      </c>
      <c r="O50" s="20">
        <f ca="1">INDEX(Historic!$D:$O,MATCH($B50,Historic!$B:$B,0),MATCH(EOMONTH(O$13,-12),Historic!$D$8:$O$8,0))*(1+IF($D50="",GrowthRate,$D50))</f>
        <v>1030</v>
      </c>
      <c r="P50" s="20">
        <f ca="1">INDEX(Historic!$D:$O,MATCH($B50,Historic!$B:$B,0),MATCH(EOMONTH(P$13,-12),Historic!$D$8:$O$8,0))*(1+IF($D50="",GrowthRate,$D50))</f>
        <v>1030</v>
      </c>
      <c r="Q50" s="20">
        <f ca="1">INDEX(Historic!$D:$O,MATCH($B50,Historic!$B:$B,0),MATCH(EOMONTH(Q$13,-12),Historic!$D$8:$O$8,0))*(1+IF($D50="",GrowthRate,$D50))</f>
        <v>1030</v>
      </c>
      <c r="S50" s="4">
        <f t="shared" ref="S50:S52" ca="1" si="32">SUM(F50:Q50)</f>
        <v>12360</v>
      </c>
    </row>
    <row r="51" spans="2:19" x14ac:dyDescent="0.35">
      <c r="B51" s="12"/>
      <c r="D51" s="12"/>
      <c r="F51" s="22">
        <f ca="1">F50/F$21</f>
        <v>6.8132958491814125E-2</v>
      </c>
      <c r="G51" s="22">
        <f t="shared" ref="G51:Q51" ca="1" si="33">G50/G$21</f>
        <v>6.8132958491814125E-2</v>
      </c>
      <c r="H51" s="22">
        <f t="shared" ca="1" si="33"/>
        <v>6.8132958491814125E-2</v>
      </c>
      <c r="I51" s="22">
        <f t="shared" ca="1" si="33"/>
        <v>6.8132958491814125E-2</v>
      </c>
      <c r="J51" s="22">
        <f t="shared" ca="1" si="33"/>
        <v>6.8132958491814125E-2</v>
      </c>
      <c r="K51" s="22">
        <f t="shared" ca="1" si="33"/>
        <v>6.8132958491814125E-2</v>
      </c>
      <c r="L51" s="22">
        <f t="shared" ca="1" si="33"/>
        <v>6.8132958491814125E-2</v>
      </c>
      <c r="M51" s="22">
        <f t="shared" ca="1" si="33"/>
        <v>6.8132958491814125E-2</v>
      </c>
      <c r="N51" s="22">
        <f t="shared" ca="1" si="33"/>
        <v>6.8132958491814125E-2</v>
      </c>
      <c r="O51" s="22">
        <f t="shared" ca="1" si="33"/>
        <v>6.8132958491814125E-2</v>
      </c>
      <c r="P51" s="22">
        <f t="shared" ca="1" si="33"/>
        <v>6.8132958491814125E-2</v>
      </c>
      <c r="Q51" s="22">
        <f t="shared" ca="1" si="33"/>
        <v>6.8132958491814125E-2</v>
      </c>
      <c r="S51" s="13">
        <f t="shared" ref="S51" ca="1" si="34">S50/S$21</f>
        <v>6.8132958491814125E-2</v>
      </c>
    </row>
    <row r="52" spans="2:19" x14ac:dyDescent="0.35">
      <c r="B52" s="2" t="s">
        <v>8</v>
      </c>
      <c r="D52" s="29">
        <f ca="1">S52/Historic!Q47-1</f>
        <v>3.5106382978723483E-2</v>
      </c>
      <c r="F52" s="23">
        <f ca="1">SUM(F42,F44,F46,F48,F50)</f>
        <v>7297.5</v>
      </c>
      <c r="G52" s="23">
        <f t="shared" ref="G52:Q52" ca="1" si="35">SUM(G42,G44,G46,G48,G50)</f>
        <v>7297.5</v>
      </c>
      <c r="H52" s="23">
        <f t="shared" ca="1" si="35"/>
        <v>7297.5</v>
      </c>
      <c r="I52" s="23">
        <f t="shared" ca="1" si="35"/>
        <v>7297.5</v>
      </c>
      <c r="J52" s="23">
        <f t="shared" ca="1" si="35"/>
        <v>7297.5</v>
      </c>
      <c r="K52" s="23">
        <f t="shared" ca="1" si="35"/>
        <v>7297.5</v>
      </c>
      <c r="L52" s="23">
        <f t="shared" ca="1" si="35"/>
        <v>7297.5</v>
      </c>
      <c r="M52" s="23">
        <f t="shared" ca="1" si="35"/>
        <v>7297.5</v>
      </c>
      <c r="N52" s="23">
        <f t="shared" ca="1" si="35"/>
        <v>7297.5</v>
      </c>
      <c r="O52" s="23">
        <f t="shared" ca="1" si="35"/>
        <v>7297.5</v>
      </c>
      <c r="P52" s="23">
        <f t="shared" ca="1" si="35"/>
        <v>7297.5</v>
      </c>
      <c r="Q52" s="23">
        <f t="shared" ca="1" si="35"/>
        <v>7297.5</v>
      </c>
      <c r="S52" s="5">
        <f t="shared" ca="1" si="32"/>
        <v>87570</v>
      </c>
    </row>
    <row r="53" spans="2:19" x14ac:dyDescent="0.35">
      <c r="B53" s="2"/>
      <c r="D53" s="2"/>
      <c r="F53" s="21">
        <f ca="1">F52/F$21</f>
        <v>0.48271870348933354</v>
      </c>
      <c r="G53" s="21">
        <f t="shared" ref="G53:Q53" ca="1" si="36">G52/G$21</f>
        <v>0.48271870348933354</v>
      </c>
      <c r="H53" s="21">
        <f t="shared" ca="1" si="36"/>
        <v>0.48271870348933354</v>
      </c>
      <c r="I53" s="21">
        <f t="shared" ca="1" si="36"/>
        <v>0.48271870348933354</v>
      </c>
      <c r="J53" s="21">
        <f t="shared" ca="1" si="36"/>
        <v>0.48271870348933354</v>
      </c>
      <c r="K53" s="21">
        <f t="shared" ca="1" si="36"/>
        <v>0.48271870348933354</v>
      </c>
      <c r="L53" s="21">
        <f t="shared" ca="1" si="36"/>
        <v>0.48271870348933354</v>
      </c>
      <c r="M53" s="21">
        <f t="shared" ca="1" si="36"/>
        <v>0.48271870348933354</v>
      </c>
      <c r="N53" s="21">
        <f t="shared" ca="1" si="36"/>
        <v>0.48271870348933354</v>
      </c>
      <c r="O53" s="21">
        <f t="shared" ca="1" si="36"/>
        <v>0.48271870348933354</v>
      </c>
      <c r="P53" s="21">
        <f t="shared" ca="1" si="36"/>
        <v>0.48271870348933354</v>
      </c>
      <c r="Q53" s="21">
        <f t="shared" ca="1" si="36"/>
        <v>0.48271870348933354</v>
      </c>
      <c r="S53" s="6">
        <f t="shared" ref="S53" ca="1" si="37">S52/S$21</f>
        <v>0.48271870348933354</v>
      </c>
    </row>
    <row r="54" spans="2:19" x14ac:dyDescent="0.35">
      <c r="B54" s="2"/>
      <c r="D54" s="2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S54" s="6"/>
    </row>
    <row r="56" spans="2:19" x14ac:dyDescent="0.35">
      <c r="B56" s="8" t="s">
        <v>17</v>
      </c>
      <c r="D56" s="30">
        <f ca="1">S56/Historic!Q51-1</f>
        <v>1.0317460317461613E-3</v>
      </c>
      <c r="F56" s="19">
        <f t="shared" ref="F56:Q56" ca="1" si="38">+F36-F52</f>
        <v>3783.8999999999996</v>
      </c>
      <c r="G56" s="19">
        <f t="shared" ca="1" si="38"/>
        <v>3783.8999999999996</v>
      </c>
      <c r="H56" s="19">
        <f t="shared" ca="1" si="38"/>
        <v>3783.8999999999996</v>
      </c>
      <c r="I56" s="19">
        <f t="shared" ca="1" si="38"/>
        <v>3783.8999999999996</v>
      </c>
      <c r="J56" s="19">
        <f t="shared" ca="1" si="38"/>
        <v>3783.8999999999996</v>
      </c>
      <c r="K56" s="19">
        <f t="shared" ca="1" si="38"/>
        <v>3783.8999999999996</v>
      </c>
      <c r="L56" s="19">
        <f t="shared" ca="1" si="38"/>
        <v>3783.8999999999996</v>
      </c>
      <c r="M56" s="19">
        <f t="shared" ca="1" si="38"/>
        <v>3783.8999999999996</v>
      </c>
      <c r="N56" s="19">
        <f t="shared" ca="1" si="38"/>
        <v>3783.8999999999996</v>
      </c>
      <c r="O56" s="19">
        <f t="shared" ca="1" si="38"/>
        <v>3783.8999999999996</v>
      </c>
      <c r="P56" s="19">
        <f t="shared" ca="1" si="38"/>
        <v>3783.8999999999996</v>
      </c>
      <c r="Q56" s="19">
        <f t="shared" ca="1" si="38"/>
        <v>3783.8999999999996</v>
      </c>
      <c r="S56" s="11">
        <f t="shared" ref="S56" ca="1" si="39">SUM(F56:Q56)</f>
        <v>45406.80000000001</v>
      </c>
    </row>
    <row r="57" spans="2:19" x14ac:dyDescent="0.35">
      <c r="F57" s="21">
        <f t="shared" ref="F57:Q57" ca="1" si="40">F56/F21</f>
        <v>0.25029932197784022</v>
      </c>
      <c r="G57" s="21">
        <f t="shared" ca="1" si="40"/>
        <v>0.25029932197784022</v>
      </c>
      <c r="H57" s="21">
        <f t="shared" ca="1" si="40"/>
        <v>0.25029932197784022</v>
      </c>
      <c r="I57" s="21">
        <f t="shared" ca="1" si="40"/>
        <v>0.25029932197784022</v>
      </c>
      <c r="J57" s="21">
        <f t="shared" ca="1" si="40"/>
        <v>0.25029932197784022</v>
      </c>
      <c r="K57" s="21">
        <f t="shared" ca="1" si="40"/>
        <v>0.25029932197784022</v>
      </c>
      <c r="L57" s="21">
        <f t="shared" ca="1" si="40"/>
        <v>0.25029932197784022</v>
      </c>
      <c r="M57" s="21">
        <f t="shared" ca="1" si="40"/>
        <v>0.25029932197784022</v>
      </c>
      <c r="N57" s="21">
        <f t="shared" ca="1" si="40"/>
        <v>0.25029932197784022</v>
      </c>
      <c r="O57" s="21">
        <f t="shared" ca="1" si="40"/>
        <v>0.25029932197784022</v>
      </c>
      <c r="P57" s="21">
        <f t="shared" ca="1" si="40"/>
        <v>0.25029932197784022</v>
      </c>
      <c r="Q57" s="21">
        <f t="shared" ca="1" si="40"/>
        <v>0.25029932197784022</v>
      </c>
      <c r="S57" s="6">
        <f ca="1">S56/S21</f>
        <v>0.25029932197784033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Q52"/>
  <sheetViews>
    <sheetView showGridLines="0" tabSelected="1" workbookViewId="0">
      <selection activeCell="H3" sqref="H3"/>
    </sheetView>
  </sheetViews>
  <sheetFormatPr defaultRowHeight="14.5" x14ac:dyDescent="0.35"/>
  <cols>
    <col min="1" max="1" width="5.6328125" customWidth="1"/>
    <col min="2" max="2" width="20.36328125" bestFit="1" customWidth="1"/>
    <col min="3" max="3" width="2.6328125" customWidth="1"/>
    <col min="4" max="4" width="12.90625" customWidth="1"/>
    <col min="5" max="15" width="10.08984375" bestFit="1" customWidth="1"/>
    <col min="16" max="16" width="2.6328125" customWidth="1"/>
    <col min="17" max="17" width="11.08984375" bestFit="1" customWidth="1"/>
  </cols>
  <sheetData>
    <row r="3" spans="2:17" ht="18.5" x14ac:dyDescent="0.45">
      <c r="B3" s="16" t="s">
        <v>19</v>
      </c>
    </row>
    <row r="4" spans="2:17" ht="2" customHeight="1" x14ac:dyDescent="0.45">
      <c r="B4" s="16"/>
    </row>
    <row r="5" spans="2:17" x14ac:dyDescent="0.35">
      <c r="B5" s="2" t="str">
        <f ca="1">"12 Months Ending "&amp;TEXT(EOMONTH(CommencementDate,-1),"MMM-YY")</f>
        <v>12 Months Ending Feb-26</v>
      </c>
      <c r="D5" s="17"/>
    </row>
    <row r="8" spans="2:17" x14ac:dyDescent="0.35">
      <c r="B8" s="8" t="s">
        <v>2</v>
      </c>
      <c r="C8" s="2"/>
      <c r="D8" s="9">
        <f ca="1">EOMONTH(CommencementDate,-12)</f>
        <v>45747</v>
      </c>
      <c r="E8" s="9">
        <f ca="1">EOMONTH(D8,1)</f>
        <v>45777</v>
      </c>
      <c r="F8" s="9">
        <f t="shared" ref="F8:O8" ca="1" si="0">EOMONTH(E8,1)</f>
        <v>45808</v>
      </c>
      <c r="G8" s="9">
        <f t="shared" ca="1" si="0"/>
        <v>45838</v>
      </c>
      <c r="H8" s="9">
        <f t="shared" ca="1" si="0"/>
        <v>45869</v>
      </c>
      <c r="I8" s="9">
        <f t="shared" ca="1" si="0"/>
        <v>45900</v>
      </c>
      <c r="J8" s="9">
        <f t="shared" ca="1" si="0"/>
        <v>45930</v>
      </c>
      <c r="K8" s="9">
        <f t="shared" ca="1" si="0"/>
        <v>45961</v>
      </c>
      <c r="L8" s="9">
        <f t="shared" ca="1" si="0"/>
        <v>45991</v>
      </c>
      <c r="M8" s="9">
        <f t="shared" ca="1" si="0"/>
        <v>46022</v>
      </c>
      <c r="N8" s="9">
        <f ca="1">EOMONTH(M8,1)</f>
        <v>46053</v>
      </c>
      <c r="O8" s="9">
        <f t="shared" ca="1" si="0"/>
        <v>46081</v>
      </c>
      <c r="Q8" s="10" t="s">
        <v>18</v>
      </c>
    </row>
    <row r="9" spans="2:17" ht="2" customHeight="1" x14ac:dyDescent="0.35">
      <c r="B9" s="2"/>
      <c r="C9" s="2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Q9" s="18"/>
    </row>
    <row r="10" spans="2:17" x14ac:dyDescent="0.35">
      <c r="B10" t="s">
        <v>12</v>
      </c>
      <c r="D10" s="7">
        <v>10000</v>
      </c>
      <c r="E10" s="7">
        <v>10000</v>
      </c>
      <c r="F10" s="7">
        <v>10000</v>
      </c>
      <c r="G10" s="7">
        <v>10000</v>
      </c>
      <c r="H10" s="7">
        <v>10000</v>
      </c>
      <c r="I10" s="7">
        <v>10000</v>
      </c>
      <c r="J10" s="7">
        <v>10000</v>
      </c>
      <c r="K10" s="7">
        <v>10000</v>
      </c>
      <c r="L10" s="7">
        <v>10000</v>
      </c>
      <c r="M10" s="7">
        <v>10000</v>
      </c>
      <c r="N10" s="7">
        <v>10000</v>
      </c>
      <c r="O10" s="7">
        <v>10000</v>
      </c>
      <c r="Q10" s="4">
        <f>SUM(D10:O10)</f>
        <v>120000</v>
      </c>
    </row>
    <row r="11" spans="2:17" x14ac:dyDescent="0.35">
      <c r="D11" s="6">
        <f t="shared" ref="D11:O11" si="1">D10/D$16</f>
        <v>0.68027210884353739</v>
      </c>
      <c r="E11" s="6">
        <f t="shared" si="1"/>
        <v>0.68027210884353739</v>
      </c>
      <c r="F11" s="6">
        <f t="shared" si="1"/>
        <v>0.68027210884353739</v>
      </c>
      <c r="G11" s="6">
        <f t="shared" si="1"/>
        <v>0.68027210884353739</v>
      </c>
      <c r="H11" s="6">
        <f t="shared" si="1"/>
        <v>0.68027210884353739</v>
      </c>
      <c r="I11" s="6">
        <f t="shared" si="1"/>
        <v>0.68027210884353739</v>
      </c>
      <c r="J11" s="6">
        <f t="shared" si="1"/>
        <v>0.68027210884353739</v>
      </c>
      <c r="K11" s="6">
        <f t="shared" si="1"/>
        <v>0.68027210884353739</v>
      </c>
      <c r="L11" s="6">
        <f t="shared" si="1"/>
        <v>0.68027210884353739</v>
      </c>
      <c r="M11" s="6">
        <f t="shared" si="1"/>
        <v>0.68027210884353739</v>
      </c>
      <c r="N11" s="6">
        <f t="shared" si="1"/>
        <v>0.68027210884353739</v>
      </c>
      <c r="O11" s="6">
        <f t="shared" si="1"/>
        <v>0.68027210884353739</v>
      </c>
      <c r="Q11" s="6">
        <f>Q10/Q$16</f>
        <v>0.68027210884353739</v>
      </c>
    </row>
    <row r="12" spans="2:17" x14ac:dyDescent="0.35">
      <c r="B12" t="s">
        <v>13</v>
      </c>
      <c r="D12" s="7">
        <v>3500</v>
      </c>
      <c r="E12" s="7">
        <v>3500</v>
      </c>
      <c r="F12" s="7">
        <v>3500</v>
      </c>
      <c r="G12" s="7">
        <v>3500</v>
      </c>
      <c r="H12" s="7">
        <v>3500</v>
      </c>
      <c r="I12" s="7">
        <v>3500</v>
      </c>
      <c r="J12" s="7">
        <v>3500</v>
      </c>
      <c r="K12" s="7">
        <v>3500</v>
      </c>
      <c r="L12" s="7">
        <v>3500</v>
      </c>
      <c r="M12" s="7">
        <v>3500</v>
      </c>
      <c r="N12" s="7">
        <v>3500</v>
      </c>
      <c r="O12" s="7">
        <v>3500</v>
      </c>
      <c r="Q12" s="4">
        <f t="shared" ref="Q12:Q14" si="2">SUM(D12:O12)</f>
        <v>42000</v>
      </c>
    </row>
    <row r="13" spans="2:17" x14ac:dyDescent="0.35">
      <c r="D13" s="6">
        <f>D12/D$16</f>
        <v>0.23809523809523808</v>
      </c>
      <c r="E13" s="6">
        <f t="shared" ref="E13" si="3">E12/E$16</f>
        <v>0.23809523809523808</v>
      </c>
      <c r="F13" s="6">
        <f t="shared" ref="F13" si="4">F12/F$16</f>
        <v>0.23809523809523808</v>
      </c>
      <c r="G13" s="6">
        <f t="shared" ref="G13" si="5">G12/G$16</f>
        <v>0.23809523809523808</v>
      </c>
      <c r="H13" s="6">
        <f t="shared" ref="H13" si="6">H12/H$16</f>
        <v>0.23809523809523808</v>
      </c>
      <c r="I13" s="6">
        <f t="shared" ref="I13" si="7">I12/I$16</f>
        <v>0.23809523809523808</v>
      </c>
      <c r="J13" s="6">
        <f t="shared" ref="J13" si="8">J12/J$16</f>
        <v>0.23809523809523808</v>
      </c>
      <c r="K13" s="6">
        <f t="shared" ref="K13" si="9">K12/K$16</f>
        <v>0.23809523809523808</v>
      </c>
      <c r="L13" s="6">
        <f t="shared" ref="L13" si="10">L12/L$16</f>
        <v>0.23809523809523808</v>
      </c>
      <c r="M13" s="6">
        <f t="shared" ref="M13" si="11">M12/M$16</f>
        <v>0.23809523809523808</v>
      </c>
      <c r="N13" s="6">
        <f t="shared" ref="N13" si="12">N12/N$16</f>
        <v>0.23809523809523808</v>
      </c>
      <c r="O13" s="6">
        <f t="shared" ref="O13" si="13">O12/O$16</f>
        <v>0.23809523809523808</v>
      </c>
      <c r="Q13" s="6">
        <f t="shared" ref="Q13" si="14">Q12/Q$16</f>
        <v>0.23809523809523808</v>
      </c>
    </row>
    <row r="14" spans="2:17" x14ac:dyDescent="0.35">
      <c r="B14" t="s">
        <v>14</v>
      </c>
      <c r="D14" s="7">
        <v>1200</v>
      </c>
      <c r="E14" s="7">
        <v>1200</v>
      </c>
      <c r="F14" s="7">
        <v>1200</v>
      </c>
      <c r="G14" s="7">
        <v>1200</v>
      </c>
      <c r="H14" s="7">
        <v>1200</v>
      </c>
      <c r="I14" s="7">
        <v>1200</v>
      </c>
      <c r="J14" s="7">
        <v>1200</v>
      </c>
      <c r="K14" s="7">
        <v>1200</v>
      </c>
      <c r="L14" s="7">
        <v>1200</v>
      </c>
      <c r="M14" s="7">
        <v>1200</v>
      </c>
      <c r="N14" s="7">
        <v>1200</v>
      </c>
      <c r="O14" s="7">
        <v>1200</v>
      </c>
      <c r="Q14" s="4">
        <f t="shared" si="2"/>
        <v>14400</v>
      </c>
    </row>
    <row r="15" spans="2:17" x14ac:dyDescent="0.35">
      <c r="B15" s="12"/>
      <c r="D15" s="13">
        <f>D14/D$16</f>
        <v>8.1632653061224483E-2</v>
      </c>
      <c r="E15" s="13">
        <f t="shared" ref="E15" si="15">E14/E$16</f>
        <v>8.1632653061224483E-2</v>
      </c>
      <c r="F15" s="13">
        <f t="shared" ref="F15" si="16">F14/F$16</f>
        <v>8.1632653061224483E-2</v>
      </c>
      <c r="G15" s="13">
        <f t="shared" ref="G15" si="17">G14/G$16</f>
        <v>8.1632653061224483E-2</v>
      </c>
      <c r="H15" s="13">
        <f t="shared" ref="H15" si="18">H14/H$16</f>
        <v>8.1632653061224483E-2</v>
      </c>
      <c r="I15" s="13">
        <f t="shared" ref="I15" si="19">I14/I$16</f>
        <v>8.1632653061224483E-2</v>
      </c>
      <c r="J15" s="13">
        <f t="shared" ref="J15" si="20">J14/J$16</f>
        <v>8.1632653061224483E-2</v>
      </c>
      <c r="K15" s="13">
        <f t="shared" ref="K15" si="21">K14/K$16</f>
        <v>8.1632653061224483E-2</v>
      </c>
      <c r="L15" s="13">
        <f t="shared" ref="L15" si="22">L14/L$16</f>
        <v>8.1632653061224483E-2</v>
      </c>
      <c r="M15" s="13">
        <f t="shared" ref="M15" si="23">M14/M$16</f>
        <v>8.1632653061224483E-2</v>
      </c>
      <c r="N15" s="13">
        <f t="shared" ref="N15" si="24">N14/N$16</f>
        <v>8.1632653061224483E-2</v>
      </c>
      <c r="O15" s="13">
        <f t="shared" ref="O15" si="25">O14/O$16</f>
        <v>8.1632653061224483E-2</v>
      </c>
      <c r="Q15" s="13">
        <f t="shared" ref="Q15" si="26">Q14/Q$16</f>
        <v>8.1632653061224483E-2</v>
      </c>
    </row>
    <row r="16" spans="2:17" x14ac:dyDescent="0.35">
      <c r="B16" s="2" t="s">
        <v>15</v>
      </c>
      <c r="C16" s="2"/>
      <c r="D16" s="5">
        <f>SUM(D10,D12,D14)</f>
        <v>14700</v>
      </c>
      <c r="E16" s="5">
        <f t="shared" ref="E16:Q16" si="27">SUM(E10,E12,E14)</f>
        <v>14700</v>
      </c>
      <c r="F16" s="5">
        <f t="shared" si="27"/>
        <v>14700</v>
      </c>
      <c r="G16" s="5">
        <f t="shared" si="27"/>
        <v>14700</v>
      </c>
      <c r="H16" s="5">
        <f t="shared" si="27"/>
        <v>14700</v>
      </c>
      <c r="I16" s="5">
        <f t="shared" si="27"/>
        <v>14700</v>
      </c>
      <c r="J16" s="5">
        <f t="shared" si="27"/>
        <v>14700</v>
      </c>
      <c r="K16" s="5">
        <f t="shared" si="27"/>
        <v>14700</v>
      </c>
      <c r="L16" s="5">
        <f t="shared" si="27"/>
        <v>14700</v>
      </c>
      <c r="M16" s="5">
        <f t="shared" si="27"/>
        <v>14700</v>
      </c>
      <c r="N16" s="5">
        <f t="shared" si="27"/>
        <v>14700</v>
      </c>
      <c r="O16" s="5">
        <f t="shared" si="27"/>
        <v>14700</v>
      </c>
      <c r="Q16" s="5">
        <f t="shared" si="27"/>
        <v>176400</v>
      </c>
    </row>
    <row r="17" spans="2:17" x14ac:dyDescent="0.35">
      <c r="B17" s="2"/>
      <c r="C17" s="2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Q17" s="5"/>
    </row>
    <row r="18" spans="2:17" x14ac:dyDescent="0.35"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Q18" s="3"/>
    </row>
    <row r="19" spans="2:17" x14ac:dyDescent="0.35">
      <c r="B19" s="8" t="s">
        <v>5</v>
      </c>
      <c r="C19" s="2"/>
      <c r="D19" s="9">
        <f ca="1">CommencementDate</f>
        <v>46082</v>
      </c>
      <c r="E19" s="9">
        <f ca="1">EOMONTH(D19,1)</f>
        <v>46142</v>
      </c>
      <c r="F19" s="9">
        <f t="shared" ref="F19:O19" ca="1" si="28">EOMONTH(E19,1)</f>
        <v>46173</v>
      </c>
      <c r="G19" s="9">
        <f t="shared" ca="1" si="28"/>
        <v>46203</v>
      </c>
      <c r="H19" s="9">
        <f t="shared" ca="1" si="28"/>
        <v>46234</v>
      </c>
      <c r="I19" s="9">
        <f t="shared" ca="1" si="28"/>
        <v>46265</v>
      </c>
      <c r="J19" s="9">
        <f t="shared" ca="1" si="28"/>
        <v>46295</v>
      </c>
      <c r="K19" s="9">
        <f t="shared" ca="1" si="28"/>
        <v>46326</v>
      </c>
      <c r="L19" s="9">
        <f t="shared" ca="1" si="28"/>
        <v>46356</v>
      </c>
      <c r="M19" s="9">
        <f t="shared" ca="1" si="28"/>
        <v>46387</v>
      </c>
      <c r="N19" s="9">
        <f ca="1">EOMONTH(M19,1)</f>
        <v>46418</v>
      </c>
      <c r="O19" s="9">
        <f t="shared" ca="1" si="28"/>
        <v>46446</v>
      </c>
      <c r="Q19" s="10" t="s">
        <v>18</v>
      </c>
    </row>
    <row r="20" spans="2:17" ht="2" customHeight="1" x14ac:dyDescent="0.35">
      <c r="B20" s="2"/>
      <c r="C20" s="2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Q20" s="18"/>
    </row>
    <row r="21" spans="2:17" x14ac:dyDescent="0.35">
      <c r="B21" t="s">
        <v>21</v>
      </c>
      <c r="D21" s="7">
        <v>2500</v>
      </c>
      <c r="E21" s="7">
        <v>2500</v>
      </c>
      <c r="F21" s="7">
        <v>2500</v>
      </c>
      <c r="G21" s="7">
        <v>2500</v>
      </c>
      <c r="H21" s="7">
        <v>2500</v>
      </c>
      <c r="I21" s="7">
        <v>2500</v>
      </c>
      <c r="J21" s="7">
        <v>2500</v>
      </c>
      <c r="K21" s="7">
        <v>2500</v>
      </c>
      <c r="L21" s="7">
        <v>2500</v>
      </c>
      <c r="M21" s="7">
        <v>2500</v>
      </c>
      <c r="N21" s="7">
        <v>2500</v>
      </c>
      <c r="O21" s="7">
        <v>2500</v>
      </c>
      <c r="Q21" s="4">
        <f t="shared" ref="Q21" si="29">SUM(D21:O21)</f>
        <v>30000</v>
      </c>
    </row>
    <row r="22" spans="2:17" x14ac:dyDescent="0.35">
      <c r="D22" s="6">
        <f>D21/D10</f>
        <v>0.25</v>
      </c>
      <c r="E22" s="6">
        <f t="shared" ref="E22:Q22" si="30">E21/E10</f>
        <v>0.25</v>
      </c>
      <c r="F22" s="6">
        <f t="shared" si="30"/>
        <v>0.25</v>
      </c>
      <c r="G22" s="6">
        <f t="shared" si="30"/>
        <v>0.25</v>
      </c>
      <c r="H22" s="6">
        <f t="shared" si="30"/>
        <v>0.25</v>
      </c>
      <c r="I22" s="6">
        <f t="shared" si="30"/>
        <v>0.25</v>
      </c>
      <c r="J22" s="6">
        <f t="shared" si="30"/>
        <v>0.25</v>
      </c>
      <c r="K22" s="6">
        <f t="shared" si="30"/>
        <v>0.25</v>
      </c>
      <c r="L22" s="6">
        <f t="shared" si="30"/>
        <v>0.25</v>
      </c>
      <c r="M22" s="6">
        <f t="shared" si="30"/>
        <v>0.25</v>
      </c>
      <c r="N22" s="6">
        <f t="shared" si="30"/>
        <v>0.25</v>
      </c>
      <c r="O22" s="6">
        <f t="shared" si="30"/>
        <v>0.25</v>
      </c>
      <c r="Q22" s="6">
        <f t="shared" si="30"/>
        <v>0.25</v>
      </c>
    </row>
    <row r="23" spans="2:17" x14ac:dyDescent="0.35">
      <c r="B23" t="s">
        <v>22</v>
      </c>
      <c r="D23" s="7">
        <v>770</v>
      </c>
      <c r="E23" s="7">
        <v>770</v>
      </c>
      <c r="F23" s="7">
        <v>770</v>
      </c>
      <c r="G23" s="7">
        <v>770</v>
      </c>
      <c r="H23" s="7">
        <v>770</v>
      </c>
      <c r="I23" s="7">
        <v>770</v>
      </c>
      <c r="J23" s="7">
        <v>770</v>
      </c>
      <c r="K23" s="7">
        <v>770</v>
      </c>
      <c r="L23" s="7">
        <v>770</v>
      </c>
      <c r="M23" s="7">
        <v>770</v>
      </c>
      <c r="N23" s="7">
        <v>770</v>
      </c>
      <c r="O23" s="7">
        <v>770</v>
      </c>
      <c r="Q23" s="4">
        <f t="shared" ref="Q23" si="31">SUM(D23:O23)</f>
        <v>9240</v>
      </c>
    </row>
    <row r="24" spans="2:17" x14ac:dyDescent="0.35">
      <c r="D24" s="6">
        <f>D23/D12</f>
        <v>0.22</v>
      </c>
      <c r="E24" s="6">
        <f t="shared" ref="E24:Q24" si="32">E23/E12</f>
        <v>0.22</v>
      </c>
      <c r="F24" s="6">
        <f t="shared" si="32"/>
        <v>0.22</v>
      </c>
      <c r="G24" s="6">
        <f t="shared" si="32"/>
        <v>0.22</v>
      </c>
      <c r="H24" s="6">
        <f t="shared" si="32"/>
        <v>0.22</v>
      </c>
      <c r="I24" s="6">
        <f t="shared" si="32"/>
        <v>0.22</v>
      </c>
      <c r="J24" s="6">
        <f t="shared" si="32"/>
        <v>0.22</v>
      </c>
      <c r="K24" s="6">
        <f t="shared" si="32"/>
        <v>0.22</v>
      </c>
      <c r="L24" s="6">
        <f t="shared" si="32"/>
        <v>0.22</v>
      </c>
      <c r="M24" s="6">
        <f t="shared" si="32"/>
        <v>0.22</v>
      </c>
      <c r="N24" s="6">
        <f t="shared" si="32"/>
        <v>0.22</v>
      </c>
      <c r="O24" s="6">
        <f t="shared" si="32"/>
        <v>0.22</v>
      </c>
      <c r="Q24" s="6">
        <f t="shared" si="32"/>
        <v>0.22</v>
      </c>
    </row>
    <row r="25" spans="2:17" x14ac:dyDescent="0.35">
      <c r="B25" t="s">
        <v>23</v>
      </c>
      <c r="D25" s="7">
        <v>600</v>
      </c>
      <c r="E25" s="7">
        <v>600</v>
      </c>
      <c r="F25" s="7">
        <v>600</v>
      </c>
      <c r="G25" s="7">
        <v>600</v>
      </c>
      <c r="H25" s="7">
        <v>600</v>
      </c>
      <c r="I25" s="7">
        <v>600</v>
      </c>
      <c r="J25" s="7">
        <v>600</v>
      </c>
      <c r="K25" s="7">
        <v>600</v>
      </c>
      <c r="L25" s="7">
        <v>600</v>
      </c>
      <c r="M25" s="7">
        <v>600</v>
      </c>
      <c r="N25" s="7">
        <v>600</v>
      </c>
      <c r="O25" s="7">
        <v>600</v>
      </c>
      <c r="Q25" s="4">
        <f t="shared" ref="Q25:Q27" si="33">SUM(D25:O25)</f>
        <v>7200</v>
      </c>
    </row>
    <row r="26" spans="2:17" x14ac:dyDescent="0.35">
      <c r="B26" s="12"/>
      <c r="D26" s="13">
        <f>D25/D14</f>
        <v>0.5</v>
      </c>
      <c r="E26" s="13">
        <f t="shared" ref="E26:Q26" si="34">E25/E14</f>
        <v>0.5</v>
      </c>
      <c r="F26" s="13">
        <f t="shared" si="34"/>
        <v>0.5</v>
      </c>
      <c r="G26" s="13">
        <f t="shared" si="34"/>
        <v>0.5</v>
      </c>
      <c r="H26" s="13">
        <f t="shared" si="34"/>
        <v>0.5</v>
      </c>
      <c r="I26" s="13">
        <f t="shared" si="34"/>
        <v>0.5</v>
      </c>
      <c r="J26" s="13">
        <f t="shared" si="34"/>
        <v>0.5</v>
      </c>
      <c r="K26" s="13">
        <f t="shared" si="34"/>
        <v>0.5</v>
      </c>
      <c r="L26" s="13">
        <f t="shared" si="34"/>
        <v>0.5</v>
      </c>
      <c r="M26" s="13">
        <f t="shared" si="34"/>
        <v>0.5</v>
      </c>
      <c r="N26" s="13">
        <f t="shared" si="34"/>
        <v>0.5</v>
      </c>
      <c r="O26" s="13">
        <f t="shared" si="34"/>
        <v>0.5</v>
      </c>
      <c r="Q26" s="13">
        <f t="shared" si="34"/>
        <v>0.5</v>
      </c>
    </row>
    <row r="27" spans="2:17" x14ac:dyDescent="0.35">
      <c r="B27" s="2" t="s">
        <v>16</v>
      </c>
      <c r="C27" s="2"/>
      <c r="D27" s="5">
        <f>SUM(D21,D23,D25)</f>
        <v>3870</v>
      </c>
      <c r="E27" s="5">
        <f t="shared" ref="E27:O27" si="35">SUM(E21,E23,E25)</f>
        <v>3870</v>
      </c>
      <c r="F27" s="5">
        <f t="shared" si="35"/>
        <v>3870</v>
      </c>
      <c r="G27" s="5">
        <f t="shared" si="35"/>
        <v>3870</v>
      </c>
      <c r="H27" s="5">
        <f t="shared" si="35"/>
        <v>3870</v>
      </c>
      <c r="I27" s="5">
        <f t="shared" si="35"/>
        <v>3870</v>
      </c>
      <c r="J27" s="5">
        <f t="shared" si="35"/>
        <v>3870</v>
      </c>
      <c r="K27" s="5">
        <f t="shared" si="35"/>
        <v>3870</v>
      </c>
      <c r="L27" s="5">
        <f t="shared" si="35"/>
        <v>3870</v>
      </c>
      <c r="M27" s="5">
        <f t="shared" si="35"/>
        <v>3870</v>
      </c>
      <c r="N27" s="5">
        <f t="shared" si="35"/>
        <v>3870</v>
      </c>
      <c r="O27" s="5">
        <f t="shared" si="35"/>
        <v>3870</v>
      </c>
      <c r="Q27" s="5">
        <f t="shared" si="33"/>
        <v>46440</v>
      </c>
    </row>
    <row r="28" spans="2:17" x14ac:dyDescent="0.35">
      <c r="B28" s="2"/>
      <c r="C28" s="2"/>
      <c r="D28" s="6">
        <f>D27/D16</f>
        <v>0.26326530612244897</v>
      </c>
      <c r="E28" s="6">
        <f t="shared" ref="E28:Q28" si="36">E27/E16</f>
        <v>0.26326530612244897</v>
      </c>
      <c r="F28" s="6">
        <f t="shared" si="36"/>
        <v>0.26326530612244897</v>
      </c>
      <c r="G28" s="6">
        <f t="shared" si="36"/>
        <v>0.26326530612244897</v>
      </c>
      <c r="H28" s="6">
        <f t="shared" si="36"/>
        <v>0.26326530612244897</v>
      </c>
      <c r="I28" s="6">
        <f t="shared" si="36"/>
        <v>0.26326530612244897</v>
      </c>
      <c r="J28" s="6">
        <f t="shared" si="36"/>
        <v>0.26326530612244897</v>
      </c>
      <c r="K28" s="6">
        <f t="shared" si="36"/>
        <v>0.26326530612244897</v>
      </c>
      <c r="L28" s="6">
        <f t="shared" si="36"/>
        <v>0.26326530612244897</v>
      </c>
      <c r="M28" s="6">
        <f t="shared" si="36"/>
        <v>0.26326530612244897</v>
      </c>
      <c r="N28" s="6">
        <f t="shared" si="36"/>
        <v>0.26326530612244897</v>
      </c>
      <c r="O28" s="6">
        <f t="shared" si="36"/>
        <v>0.26326530612244897</v>
      </c>
      <c r="Q28" s="6">
        <f t="shared" si="36"/>
        <v>0.26326530612244897</v>
      </c>
    </row>
    <row r="29" spans="2:17" x14ac:dyDescent="0.35">
      <c r="B29" s="2"/>
      <c r="C29" s="2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Q29" s="6"/>
    </row>
    <row r="30" spans="2:17" x14ac:dyDescent="0.35"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Q30" s="3"/>
    </row>
    <row r="31" spans="2:17" x14ac:dyDescent="0.35">
      <c r="B31" s="8" t="s">
        <v>6</v>
      </c>
      <c r="C31" s="2"/>
      <c r="D31" s="11">
        <f t="shared" ref="D31:O31" si="37">+D16-D27</f>
        <v>10830</v>
      </c>
      <c r="E31" s="11">
        <f t="shared" si="37"/>
        <v>10830</v>
      </c>
      <c r="F31" s="11">
        <f t="shared" si="37"/>
        <v>10830</v>
      </c>
      <c r="G31" s="11">
        <f t="shared" si="37"/>
        <v>10830</v>
      </c>
      <c r="H31" s="11">
        <f t="shared" si="37"/>
        <v>10830</v>
      </c>
      <c r="I31" s="11">
        <f t="shared" si="37"/>
        <v>10830</v>
      </c>
      <c r="J31" s="11">
        <f t="shared" si="37"/>
        <v>10830</v>
      </c>
      <c r="K31" s="11">
        <f t="shared" si="37"/>
        <v>10830</v>
      </c>
      <c r="L31" s="11">
        <f t="shared" si="37"/>
        <v>10830</v>
      </c>
      <c r="M31" s="11">
        <f t="shared" si="37"/>
        <v>10830</v>
      </c>
      <c r="N31" s="11">
        <f t="shared" si="37"/>
        <v>10830</v>
      </c>
      <c r="O31" s="11">
        <f t="shared" si="37"/>
        <v>10830</v>
      </c>
      <c r="Q31" s="11">
        <f t="shared" ref="Q31" si="38">SUM(D31:O31)</f>
        <v>129960</v>
      </c>
    </row>
    <row r="32" spans="2:17" x14ac:dyDescent="0.35">
      <c r="B32" s="2"/>
      <c r="C32" s="2"/>
      <c r="D32" s="6">
        <f t="shared" ref="D32:O32" si="39">D31/D16</f>
        <v>0.73673469387755097</v>
      </c>
      <c r="E32" s="6">
        <f t="shared" si="39"/>
        <v>0.73673469387755097</v>
      </c>
      <c r="F32" s="6">
        <f t="shared" si="39"/>
        <v>0.73673469387755097</v>
      </c>
      <c r="G32" s="6">
        <f t="shared" si="39"/>
        <v>0.73673469387755097</v>
      </c>
      <c r="H32" s="6">
        <f t="shared" si="39"/>
        <v>0.73673469387755097</v>
      </c>
      <c r="I32" s="6">
        <f t="shared" si="39"/>
        <v>0.73673469387755097</v>
      </c>
      <c r="J32" s="6">
        <f t="shared" si="39"/>
        <v>0.73673469387755097</v>
      </c>
      <c r="K32" s="6">
        <f t="shared" si="39"/>
        <v>0.73673469387755097</v>
      </c>
      <c r="L32" s="6">
        <f t="shared" si="39"/>
        <v>0.73673469387755097</v>
      </c>
      <c r="M32" s="6">
        <f t="shared" si="39"/>
        <v>0.73673469387755097</v>
      </c>
      <c r="N32" s="6">
        <f t="shared" si="39"/>
        <v>0.73673469387755097</v>
      </c>
      <c r="O32" s="6">
        <f t="shared" si="39"/>
        <v>0.73673469387755097</v>
      </c>
      <c r="Q32" s="6">
        <f>Q31/Q16</f>
        <v>0.73673469387755097</v>
      </c>
    </row>
    <row r="33" spans="2:17" x14ac:dyDescent="0.35">
      <c r="B33" s="2"/>
      <c r="C33" s="2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Q33" s="6"/>
    </row>
    <row r="35" spans="2:17" x14ac:dyDescent="0.35">
      <c r="B35" s="8" t="s">
        <v>3</v>
      </c>
      <c r="C35" s="2"/>
      <c r="D35" s="9">
        <f ca="1">CommencementDate</f>
        <v>46082</v>
      </c>
      <c r="E35" s="9">
        <f ca="1">EOMONTH(D35,1)</f>
        <v>46142</v>
      </c>
      <c r="F35" s="9">
        <f t="shared" ref="F35:O35" ca="1" si="40">EOMONTH(E35,1)</f>
        <v>46173</v>
      </c>
      <c r="G35" s="9">
        <f t="shared" ca="1" si="40"/>
        <v>46203</v>
      </c>
      <c r="H35" s="9">
        <f t="shared" ca="1" si="40"/>
        <v>46234</v>
      </c>
      <c r="I35" s="9">
        <f t="shared" ca="1" si="40"/>
        <v>46265</v>
      </c>
      <c r="J35" s="9">
        <f t="shared" ca="1" si="40"/>
        <v>46295</v>
      </c>
      <c r="K35" s="9">
        <f t="shared" ca="1" si="40"/>
        <v>46326</v>
      </c>
      <c r="L35" s="9">
        <f t="shared" ca="1" si="40"/>
        <v>46356</v>
      </c>
      <c r="M35" s="9">
        <f t="shared" ca="1" si="40"/>
        <v>46387</v>
      </c>
      <c r="N35" s="9">
        <f ca="1">EOMONTH(M35,1)</f>
        <v>46418</v>
      </c>
      <c r="O35" s="9">
        <f t="shared" ca="1" si="40"/>
        <v>46446</v>
      </c>
      <c r="Q35" s="10" t="s">
        <v>18</v>
      </c>
    </row>
    <row r="36" spans="2:17" ht="2" customHeight="1" x14ac:dyDescent="0.35">
      <c r="B36" s="2"/>
      <c r="C36" s="2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Q36" s="18"/>
    </row>
    <row r="37" spans="2:17" x14ac:dyDescent="0.35">
      <c r="B37" t="s">
        <v>4</v>
      </c>
      <c r="D37" s="7">
        <v>5000</v>
      </c>
      <c r="E37" s="7">
        <v>5000</v>
      </c>
      <c r="F37" s="7">
        <v>5000</v>
      </c>
      <c r="G37" s="7">
        <v>5000</v>
      </c>
      <c r="H37" s="7">
        <v>5000</v>
      </c>
      <c r="I37" s="7">
        <v>5000</v>
      </c>
      <c r="J37" s="7">
        <v>5000</v>
      </c>
      <c r="K37" s="7">
        <v>5000</v>
      </c>
      <c r="L37" s="7">
        <v>5000</v>
      </c>
      <c r="M37" s="7">
        <v>5000</v>
      </c>
      <c r="N37" s="7">
        <v>5000</v>
      </c>
      <c r="O37" s="7">
        <v>5000</v>
      </c>
      <c r="Q37" s="4">
        <f t="shared" ref="Q37" si="41">SUM(D37:O37)</f>
        <v>60000</v>
      </c>
    </row>
    <row r="38" spans="2:17" x14ac:dyDescent="0.35">
      <c r="D38" s="6">
        <f>D37/D$16</f>
        <v>0.3401360544217687</v>
      </c>
      <c r="E38" s="6">
        <f t="shared" ref="E38:Q38" si="42">E37/E$16</f>
        <v>0.3401360544217687</v>
      </c>
      <c r="F38" s="6">
        <f t="shared" si="42"/>
        <v>0.3401360544217687</v>
      </c>
      <c r="G38" s="6">
        <f t="shared" si="42"/>
        <v>0.3401360544217687</v>
      </c>
      <c r="H38" s="6">
        <f t="shared" si="42"/>
        <v>0.3401360544217687</v>
      </c>
      <c r="I38" s="6">
        <f t="shared" si="42"/>
        <v>0.3401360544217687</v>
      </c>
      <c r="J38" s="6">
        <f t="shared" si="42"/>
        <v>0.3401360544217687</v>
      </c>
      <c r="K38" s="6">
        <f t="shared" si="42"/>
        <v>0.3401360544217687</v>
      </c>
      <c r="L38" s="6">
        <f t="shared" si="42"/>
        <v>0.3401360544217687</v>
      </c>
      <c r="M38" s="6">
        <f t="shared" si="42"/>
        <v>0.3401360544217687</v>
      </c>
      <c r="N38" s="6">
        <f t="shared" si="42"/>
        <v>0.3401360544217687</v>
      </c>
      <c r="O38" s="6">
        <f t="shared" si="42"/>
        <v>0.3401360544217687</v>
      </c>
      <c r="Q38" s="6">
        <f t="shared" si="42"/>
        <v>0.3401360544217687</v>
      </c>
    </row>
    <row r="39" spans="2:17" x14ac:dyDescent="0.35">
      <c r="B39" t="s">
        <v>7</v>
      </c>
      <c r="D39" s="7">
        <v>500</v>
      </c>
      <c r="E39" s="7">
        <v>500</v>
      </c>
      <c r="F39" s="7">
        <v>500</v>
      </c>
      <c r="G39" s="7">
        <v>500</v>
      </c>
      <c r="H39" s="7">
        <v>500</v>
      </c>
      <c r="I39" s="7">
        <v>500</v>
      </c>
      <c r="J39" s="7">
        <v>500</v>
      </c>
      <c r="K39" s="7">
        <v>500</v>
      </c>
      <c r="L39" s="7">
        <v>500</v>
      </c>
      <c r="M39" s="7">
        <v>500</v>
      </c>
      <c r="N39" s="7">
        <v>500</v>
      </c>
      <c r="O39" s="7">
        <v>500</v>
      </c>
      <c r="Q39" s="4">
        <f t="shared" ref="Q39" si="43">SUM(D39:O39)</f>
        <v>6000</v>
      </c>
    </row>
    <row r="40" spans="2:17" x14ac:dyDescent="0.35">
      <c r="D40" s="6">
        <f>D39/D$16</f>
        <v>3.4013605442176874E-2</v>
      </c>
      <c r="E40" s="6">
        <f t="shared" ref="E40" si="44">E39/E$16</f>
        <v>3.4013605442176874E-2</v>
      </c>
      <c r="F40" s="6">
        <f t="shared" ref="F40" si="45">F39/F$16</f>
        <v>3.4013605442176874E-2</v>
      </c>
      <c r="G40" s="6">
        <f t="shared" ref="G40" si="46">G39/G$16</f>
        <v>3.4013605442176874E-2</v>
      </c>
      <c r="H40" s="6">
        <f t="shared" ref="H40" si="47">H39/H$16</f>
        <v>3.4013605442176874E-2</v>
      </c>
      <c r="I40" s="6">
        <f t="shared" ref="I40" si="48">I39/I$16</f>
        <v>3.4013605442176874E-2</v>
      </c>
      <c r="J40" s="6">
        <f t="shared" ref="J40" si="49">J39/J$16</f>
        <v>3.4013605442176874E-2</v>
      </c>
      <c r="K40" s="6">
        <f t="shared" ref="K40" si="50">K39/K$16</f>
        <v>3.4013605442176874E-2</v>
      </c>
      <c r="L40" s="6">
        <f t="shared" ref="L40" si="51">L39/L$16</f>
        <v>3.4013605442176874E-2</v>
      </c>
      <c r="M40" s="6">
        <f t="shared" ref="M40" si="52">M39/M$16</f>
        <v>3.4013605442176874E-2</v>
      </c>
      <c r="N40" s="6">
        <f t="shared" ref="N40" si="53">N39/N$16</f>
        <v>3.4013605442176874E-2</v>
      </c>
      <c r="O40" s="6">
        <f t="shared" ref="O40" si="54">O39/O$16</f>
        <v>3.4013605442176874E-2</v>
      </c>
      <c r="Q40" s="6">
        <f t="shared" ref="Q40" si="55">Q39/Q$16</f>
        <v>3.4013605442176874E-2</v>
      </c>
    </row>
    <row r="41" spans="2:17" x14ac:dyDescent="0.35">
      <c r="B41" t="s">
        <v>10</v>
      </c>
      <c r="D41" s="7">
        <v>200</v>
      </c>
      <c r="E41" s="7">
        <v>200</v>
      </c>
      <c r="F41" s="7">
        <v>200</v>
      </c>
      <c r="G41" s="7">
        <v>200</v>
      </c>
      <c r="H41" s="7">
        <v>200</v>
      </c>
      <c r="I41" s="7">
        <v>200</v>
      </c>
      <c r="J41" s="7">
        <v>200</v>
      </c>
      <c r="K41" s="7">
        <v>200</v>
      </c>
      <c r="L41" s="7">
        <v>200</v>
      </c>
      <c r="M41" s="7">
        <v>200</v>
      </c>
      <c r="N41" s="7">
        <v>200</v>
      </c>
      <c r="O41" s="7">
        <v>200</v>
      </c>
      <c r="Q41" s="4">
        <f t="shared" ref="Q41" si="56">SUM(D41:O41)</f>
        <v>2400</v>
      </c>
    </row>
    <row r="42" spans="2:17" x14ac:dyDescent="0.35">
      <c r="D42" s="6">
        <f>D41/D$16</f>
        <v>1.3605442176870748E-2</v>
      </c>
      <c r="E42" s="6">
        <f t="shared" ref="E42" si="57">E41/E$16</f>
        <v>1.3605442176870748E-2</v>
      </c>
      <c r="F42" s="6">
        <f t="shared" ref="F42" si="58">F41/F$16</f>
        <v>1.3605442176870748E-2</v>
      </c>
      <c r="G42" s="6">
        <f t="shared" ref="G42" si="59">G41/G$16</f>
        <v>1.3605442176870748E-2</v>
      </c>
      <c r="H42" s="6">
        <f t="shared" ref="H42" si="60">H41/H$16</f>
        <v>1.3605442176870748E-2</v>
      </c>
      <c r="I42" s="6">
        <f t="shared" ref="I42" si="61">I41/I$16</f>
        <v>1.3605442176870748E-2</v>
      </c>
      <c r="J42" s="6">
        <f t="shared" ref="J42" si="62">J41/J$16</f>
        <v>1.3605442176870748E-2</v>
      </c>
      <c r="K42" s="6">
        <f t="shared" ref="K42" si="63">K41/K$16</f>
        <v>1.3605442176870748E-2</v>
      </c>
      <c r="L42" s="6">
        <f t="shared" ref="L42" si="64">L41/L$16</f>
        <v>1.3605442176870748E-2</v>
      </c>
      <c r="M42" s="6">
        <f t="shared" ref="M42" si="65">M41/M$16</f>
        <v>1.3605442176870748E-2</v>
      </c>
      <c r="N42" s="6">
        <f t="shared" ref="N42" si="66">N41/N$16</f>
        <v>1.3605442176870748E-2</v>
      </c>
      <c r="O42" s="6">
        <f t="shared" ref="O42" si="67">O41/O$16</f>
        <v>1.3605442176870748E-2</v>
      </c>
      <c r="Q42" s="6">
        <f t="shared" ref="Q42" si="68">Q41/Q$16</f>
        <v>1.3605442176870748E-2</v>
      </c>
    </row>
    <row r="43" spans="2:17" x14ac:dyDescent="0.35">
      <c r="B43" t="s">
        <v>9</v>
      </c>
      <c r="D43" s="7">
        <v>350</v>
      </c>
      <c r="E43" s="7">
        <v>350</v>
      </c>
      <c r="F43" s="7">
        <v>350</v>
      </c>
      <c r="G43" s="7">
        <v>350</v>
      </c>
      <c r="H43" s="7">
        <v>350</v>
      </c>
      <c r="I43" s="7">
        <v>350</v>
      </c>
      <c r="J43" s="7">
        <v>350</v>
      </c>
      <c r="K43" s="7">
        <v>350</v>
      </c>
      <c r="L43" s="7">
        <v>350</v>
      </c>
      <c r="M43" s="7">
        <v>350</v>
      </c>
      <c r="N43" s="7">
        <v>350</v>
      </c>
      <c r="O43" s="7">
        <v>350</v>
      </c>
      <c r="Q43" s="4">
        <f t="shared" ref="Q43" si="69">SUM(D43:O43)</f>
        <v>4200</v>
      </c>
    </row>
    <row r="44" spans="2:17" x14ac:dyDescent="0.35">
      <c r="D44" s="6">
        <f>D43/D$16</f>
        <v>2.3809523809523808E-2</v>
      </c>
      <c r="E44" s="6">
        <f t="shared" ref="E44" si="70">E43/E$16</f>
        <v>2.3809523809523808E-2</v>
      </c>
      <c r="F44" s="6">
        <f t="shared" ref="F44" si="71">F43/F$16</f>
        <v>2.3809523809523808E-2</v>
      </c>
      <c r="G44" s="6">
        <f t="shared" ref="G44" si="72">G43/G$16</f>
        <v>2.3809523809523808E-2</v>
      </c>
      <c r="H44" s="6">
        <f t="shared" ref="H44" si="73">H43/H$16</f>
        <v>2.3809523809523808E-2</v>
      </c>
      <c r="I44" s="6">
        <f t="shared" ref="I44" si="74">I43/I$16</f>
        <v>2.3809523809523808E-2</v>
      </c>
      <c r="J44" s="6">
        <f t="shared" ref="J44" si="75">J43/J$16</f>
        <v>2.3809523809523808E-2</v>
      </c>
      <c r="K44" s="6">
        <f t="shared" ref="K44" si="76">K43/K$16</f>
        <v>2.3809523809523808E-2</v>
      </c>
      <c r="L44" s="6">
        <f t="shared" ref="L44" si="77">L43/L$16</f>
        <v>2.3809523809523808E-2</v>
      </c>
      <c r="M44" s="6">
        <f t="shared" ref="M44" si="78">M43/M$16</f>
        <v>2.3809523809523808E-2</v>
      </c>
      <c r="N44" s="6">
        <f t="shared" ref="N44" si="79">N43/N$16</f>
        <v>2.3809523809523808E-2</v>
      </c>
      <c r="O44" s="6">
        <f t="shared" ref="O44" si="80">O43/O$16</f>
        <v>2.3809523809523808E-2</v>
      </c>
      <c r="Q44" s="6">
        <f t="shared" ref="Q44" si="81">Q43/Q$16</f>
        <v>2.3809523809523808E-2</v>
      </c>
    </row>
    <row r="45" spans="2:17" x14ac:dyDescent="0.35">
      <c r="B45" t="s">
        <v>11</v>
      </c>
      <c r="D45" s="7">
        <v>1000</v>
      </c>
      <c r="E45" s="7">
        <v>1000</v>
      </c>
      <c r="F45" s="7">
        <v>1000</v>
      </c>
      <c r="G45" s="7">
        <v>1000</v>
      </c>
      <c r="H45" s="7">
        <v>1000</v>
      </c>
      <c r="I45" s="7">
        <v>1000</v>
      </c>
      <c r="J45" s="7">
        <v>1000</v>
      </c>
      <c r="K45" s="7">
        <v>1000</v>
      </c>
      <c r="L45" s="7">
        <v>1000</v>
      </c>
      <c r="M45" s="7">
        <v>1000</v>
      </c>
      <c r="N45" s="7">
        <v>1000</v>
      </c>
      <c r="O45" s="7">
        <v>1000</v>
      </c>
      <c r="Q45" s="4">
        <f t="shared" ref="Q45:Q47" si="82">SUM(D45:O45)</f>
        <v>12000</v>
      </c>
    </row>
    <row r="46" spans="2:17" x14ac:dyDescent="0.35">
      <c r="B46" s="12"/>
      <c r="D46" s="13">
        <f>D45/D$16</f>
        <v>6.8027210884353748E-2</v>
      </c>
      <c r="E46" s="13">
        <f t="shared" ref="E46" si="83">E45/E$16</f>
        <v>6.8027210884353748E-2</v>
      </c>
      <c r="F46" s="13">
        <f t="shared" ref="F46" si="84">F45/F$16</f>
        <v>6.8027210884353748E-2</v>
      </c>
      <c r="G46" s="13">
        <f t="shared" ref="G46" si="85">G45/G$16</f>
        <v>6.8027210884353748E-2</v>
      </c>
      <c r="H46" s="13">
        <f t="shared" ref="H46" si="86">H45/H$16</f>
        <v>6.8027210884353748E-2</v>
      </c>
      <c r="I46" s="13">
        <f t="shared" ref="I46" si="87">I45/I$16</f>
        <v>6.8027210884353748E-2</v>
      </c>
      <c r="J46" s="13">
        <f t="shared" ref="J46" si="88">J45/J$16</f>
        <v>6.8027210884353748E-2</v>
      </c>
      <c r="K46" s="13">
        <f t="shared" ref="K46" si="89">K45/K$16</f>
        <v>6.8027210884353748E-2</v>
      </c>
      <c r="L46" s="13">
        <f t="shared" ref="L46" si="90">L45/L$16</f>
        <v>6.8027210884353748E-2</v>
      </c>
      <c r="M46" s="13">
        <f t="shared" ref="M46" si="91">M45/M$16</f>
        <v>6.8027210884353748E-2</v>
      </c>
      <c r="N46" s="13">
        <f t="shared" ref="N46" si="92">N45/N$16</f>
        <v>6.8027210884353748E-2</v>
      </c>
      <c r="O46" s="13">
        <f t="shared" ref="O46" si="93">O45/O$16</f>
        <v>6.8027210884353748E-2</v>
      </c>
      <c r="Q46" s="13">
        <f t="shared" ref="Q46" si="94">Q45/Q$16</f>
        <v>6.8027210884353748E-2</v>
      </c>
    </row>
    <row r="47" spans="2:17" x14ac:dyDescent="0.35">
      <c r="B47" s="2" t="s">
        <v>8</v>
      </c>
      <c r="C47" s="2"/>
      <c r="D47" s="5">
        <f>SUM(D37,D39,D41,D43,D45)</f>
        <v>7050</v>
      </c>
      <c r="E47" s="5">
        <f t="shared" ref="E47:O47" si="95">SUM(E37,E39,E41,E43,E45)</f>
        <v>7050</v>
      </c>
      <c r="F47" s="5">
        <f t="shared" si="95"/>
        <v>7050</v>
      </c>
      <c r="G47" s="5">
        <f t="shared" si="95"/>
        <v>7050</v>
      </c>
      <c r="H47" s="5">
        <f t="shared" si="95"/>
        <v>7050</v>
      </c>
      <c r="I47" s="5">
        <f t="shared" si="95"/>
        <v>7050</v>
      </c>
      <c r="J47" s="5">
        <f t="shared" si="95"/>
        <v>7050</v>
      </c>
      <c r="K47" s="5">
        <f t="shared" si="95"/>
        <v>7050</v>
      </c>
      <c r="L47" s="5">
        <f t="shared" si="95"/>
        <v>7050</v>
      </c>
      <c r="M47" s="5">
        <f t="shared" si="95"/>
        <v>7050</v>
      </c>
      <c r="N47" s="5">
        <f t="shared" si="95"/>
        <v>7050</v>
      </c>
      <c r="O47" s="5">
        <f t="shared" si="95"/>
        <v>7050</v>
      </c>
      <c r="Q47" s="5">
        <f t="shared" si="82"/>
        <v>84600</v>
      </c>
    </row>
    <row r="48" spans="2:17" x14ac:dyDescent="0.35">
      <c r="B48" s="2"/>
      <c r="C48" s="2"/>
      <c r="D48" s="6">
        <f>D47/D$16</f>
        <v>0.47959183673469385</v>
      </c>
      <c r="E48" s="6">
        <f t="shared" ref="E48" si="96">E47/E$16</f>
        <v>0.47959183673469385</v>
      </c>
      <c r="F48" s="6">
        <f t="shared" ref="F48" si="97">F47/F$16</f>
        <v>0.47959183673469385</v>
      </c>
      <c r="G48" s="6">
        <f t="shared" ref="G48" si="98">G47/G$16</f>
        <v>0.47959183673469385</v>
      </c>
      <c r="H48" s="6">
        <f t="shared" ref="H48" si="99">H47/H$16</f>
        <v>0.47959183673469385</v>
      </c>
      <c r="I48" s="6">
        <f t="shared" ref="I48" si="100">I47/I$16</f>
        <v>0.47959183673469385</v>
      </c>
      <c r="J48" s="6">
        <f t="shared" ref="J48" si="101">J47/J$16</f>
        <v>0.47959183673469385</v>
      </c>
      <c r="K48" s="6">
        <f t="shared" ref="K48" si="102">K47/K$16</f>
        <v>0.47959183673469385</v>
      </c>
      <c r="L48" s="6">
        <f t="shared" ref="L48" si="103">L47/L$16</f>
        <v>0.47959183673469385</v>
      </c>
      <c r="M48" s="6">
        <f t="shared" ref="M48" si="104">M47/M$16</f>
        <v>0.47959183673469385</v>
      </c>
      <c r="N48" s="6">
        <f t="shared" ref="N48" si="105">N47/N$16</f>
        <v>0.47959183673469385</v>
      </c>
      <c r="O48" s="6">
        <f t="shared" ref="O48" si="106">O47/O$16</f>
        <v>0.47959183673469385</v>
      </c>
      <c r="Q48" s="6">
        <f t="shared" ref="Q48" si="107">Q47/Q$16</f>
        <v>0.47959183673469385</v>
      </c>
    </row>
    <row r="49" spans="2:17" x14ac:dyDescent="0.35">
      <c r="B49" s="2"/>
      <c r="C49" s="2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Q49" s="6"/>
    </row>
    <row r="51" spans="2:17" x14ac:dyDescent="0.35">
      <c r="B51" s="8" t="s">
        <v>17</v>
      </c>
      <c r="C51" s="2"/>
      <c r="D51" s="19">
        <f t="shared" ref="D51:O51" si="108">+D31-D47</f>
        <v>3780</v>
      </c>
      <c r="E51" s="19">
        <f t="shared" si="108"/>
        <v>3780</v>
      </c>
      <c r="F51" s="19">
        <f t="shared" si="108"/>
        <v>3780</v>
      </c>
      <c r="G51" s="19">
        <f t="shared" si="108"/>
        <v>3780</v>
      </c>
      <c r="H51" s="19">
        <f t="shared" si="108"/>
        <v>3780</v>
      </c>
      <c r="I51" s="19">
        <f t="shared" si="108"/>
        <v>3780</v>
      </c>
      <c r="J51" s="19">
        <f t="shared" si="108"/>
        <v>3780</v>
      </c>
      <c r="K51" s="19">
        <f t="shared" si="108"/>
        <v>3780</v>
      </c>
      <c r="L51" s="19">
        <f t="shared" si="108"/>
        <v>3780</v>
      </c>
      <c r="M51" s="19">
        <f t="shared" si="108"/>
        <v>3780</v>
      </c>
      <c r="N51" s="19">
        <f t="shared" si="108"/>
        <v>3780</v>
      </c>
      <c r="O51" s="19">
        <f t="shared" si="108"/>
        <v>3780</v>
      </c>
      <c r="Q51" s="11">
        <f t="shared" ref="Q51" si="109">SUM(D51:O51)</f>
        <v>45360</v>
      </c>
    </row>
    <row r="52" spans="2:17" x14ac:dyDescent="0.35">
      <c r="D52" s="6">
        <f t="shared" ref="D52:O52" si="110">D51/D16</f>
        <v>0.25714285714285712</v>
      </c>
      <c r="E52" s="6">
        <f t="shared" si="110"/>
        <v>0.25714285714285712</v>
      </c>
      <c r="F52" s="6">
        <f t="shared" si="110"/>
        <v>0.25714285714285712</v>
      </c>
      <c r="G52" s="6">
        <f t="shared" si="110"/>
        <v>0.25714285714285712</v>
      </c>
      <c r="H52" s="6">
        <f t="shared" si="110"/>
        <v>0.25714285714285712</v>
      </c>
      <c r="I52" s="6">
        <f t="shared" si="110"/>
        <v>0.25714285714285712</v>
      </c>
      <c r="J52" s="6">
        <f t="shared" si="110"/>
        <v>0.25714285714285712</v>
      </c>
      <c r="K52" s="6">
        <f t="shared" si="110"/>
        <v>0.25714285714285712</v>
      </c>
      <c r="L52" s="6">
        <f t="shared" si="110"/>
        <v>0.25714285714285712</v>
      </c>
      <c r="M52" s="6">
        <f t="shared" si="110"/>
        <v>0.25714285714285712</v>
      </c>
      <c r="N52" s="6">
        <f t="shared" si="110"/>
        <v>0.25714285714285712</v>
      </c>
      <c r="O52" s="6">
        <f t="shared" si="110"/>
        <v>0.25714285714285712</v>
      </c>
      <c r="Q52" s="6">
        <f>Q51/Q16</f>
        <v>0.25714285714285712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Forecast</vt:lpstr>
      <vt:lpstr>Historic</vt:lpstr>
      <vt:lpstr>CommencementDate</vt:lpstr>
      <vt:lpstr>GrowthRate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2026-03-15T02:45:52Z</dcterms:created>
  <dcterms:modified xsi:type="dcterms:W3CDTF">2026-03-15T05:42:34Z</dcterms:modified>
</cp:coreProperties>
</file>